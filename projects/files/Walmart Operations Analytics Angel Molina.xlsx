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l Molina\Downloads\"/>
    </mc:Choice>
  </mc:AlternateContent>
  <xr:revisionPtr revIDLastSave="0" documentId="13_ncr:1_{E02984BE-FB4C-4141-99C2-75E8190FE393}" xr6:coauthVersionLast="47" xr6:coauthVersionMax="47" xr10:uidLastSave="{00000000-0000-0000-0000-000000000000}"/>
  <bookViews>
    <workbookView xWindow="-28920" yWindow="-90" windowWidth="29040" windowHeight="15720" tabRatio="500" activeTab="1" xr2:uid="{00000000-000D-0000-FFFF-FFFF00000000}"/>
  </bookViews>
  <sheets>
    <sheet name="KPI Data" sheetId="1" r:id="rId1"/>
    <sheet name="NIL Picks &amp; Out Scans" sheetId="2" r:id="rId2"/>
    <sheet name="Receiving Operations" sheetId="3" r:id="rId3"/>
    <sheet name="Inventory &amp; Store Metrics" sheetId="4" r:id="rId4"/>
    <sheet name="KPI Trends &amp; Analysis" sheetId="5" r:id="rId5"/>
    <sheet name="Pivot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6" l="1"/>
  <c r="D15" i="6"/>
  <c r="C15" i="6"/>
  <c r="B15" i="6"/>
  <c r="J18" i="1"/>
  <c r="I18" i="1"/>
  <c r="H18" i="1"/>
  <c r="G18" i="1"/>
  <c r="F18" i="1"/>
  <c r="E18" i="1"/>
  <c r="D18" i="1"/>
  <c r="C18" i="1"/>
</calcChain>
</file>

<file path=xl/sharedStrings.xml><?xml version="1.0" encoding="utf-8"?>
<sst xmlns="http://schemas.openxmlformats.org/spreadsheetml/2006/main" count="616" uniqueCount="143">
  <si>
    <t>OPD DEPARTMENT – KPI PERFORMANCE DATA  |  Apr 25 – May 22, 2025</t>
  </si>
  <si>
    <t>Angel Molina  •  Digital Personal Shopper  •  Walmart  •  Source: KPI Dashboard / OPD System</t>
  </si>
  <si>
    <t>Date</t>
  </si>
  <si>
    <t>Time</t>
  </si>
  <si>
    <t>Sales ($k)</t>
  </si>
  <si>
    <t>TY vs LY %</t>
  </si>
  <si>
    <t>Pre-Sub %</t>
  </si>
  <si>
    <t>FTP %</t>
  </si>
  <si>
    <t>Nil Picks</t>
  </si>
  <si>
    <t>Out Scans</t>
  </si>
  <si>
    <t>GIF Remaining</t>
  </si>
  <si>
    <t>GIF Dispensed</t>
  </si>
  <si>
    <t>9:30 AM</t>
  </si>
  <si>
    <t>11:30 AM</t>
  </si>
  <si>
    <t>12:30 PM</t>
  </si>
  <si>
    <t>4:30 PM</t>
  </si>
  <si>
    <t>7:00 PM</t>
  </si>
  <si>
    <t>10:00 PM</t>
  </si>
  <si>
    <t>5:20 PM</t>
  </si>
  <si>
    <t>6:30 PM</t>
  </si>
  <si>
    <t>1:20 PM</t>
  </si>
  <si>
    <t>3:00 PM</t>
  </si>
  <si>
    <t>9:40 PM</t>
  </si>
  <si>
    <t>2:20 PM</t>
  </si>
  <si>
    <t>12:40 PM</t>
  </si>
  <si>
    <t>Department</t>
  </si>
  <si>
    <t>NIL Picks</t>
  </si>
  <si>
    <t>Items Affected</t>
  </si>
  <si>
    <t>Entertainment</t>
  </si>
  <si>
    <t>Fashion</t>
  </si>
  <si>
    <t>Hardlines</t>
  </si>
  <si>
    <t>Home</t>
  </si>
  <si>
    <t>Seasonal</t>
  </si>
  <si>
    <t>Deli/Bakery</t>
  </si>
  <si>
    <t>Food/Consumables</t>
  </si>
  <si>
    <t>Meat/Produce</t>
  </si>
  <si>
    <t>Auto Care Center</t>
  </si>
  <si>
    <t>DEPARTMENT SUMMARY</t>
  </si>
  <si>
    <t>Total NIL Picks</t>
  </si>
  <si>
    <t>Total Items</t>
  </si>
  <si>
    <t>Total Out Scans</t>
  </si>
  <si>
    <t>NIL % of All NIL</t>
  </si>
  <si>
    <t>Status</t>
  </si>
  <si>
    <t>Pallets</t>
  </si>
  <si>
    <t>Cases</t>
  </si>
  <si>
    <t>Trailer ID</t>
  </si>
  <si>
    <t>Freight Compl.</t>
  </si>
  <si>
    <t>GM</t>
  </si>
  <si>
    <t>Arrived</t>
  </si>
  <si>
    <t>166127</t>
  </si>
  <si>
    <t>Grocery</t>
  </si>
  <si>
    <t>147043</t>
  </si>
  <si>
    <t>On the way</t>
  </si>
  <si>
    <t>173721</t>
  </si>
  <si>
    <t>Planned</t>
  </si>
  <si>
    <t>202480</t>
  </si>
  <si>
    <t>P-</t>
  </si>
  <si>
    <t>Frozen, Dairy, Deli</t>
  </si>
  <si>
    <t>312240</t>
  </si>
  <si>
    <t>Meat &amp; Produce</t>
  </si>
  <si>
    <t>Complete</t>
  </si>
  <si>
    <t>318427</t>
  </si>
  <si>
    <t>316867</t>
  </si>
  <si>
    <t>184741</t>
  </si>
  <si>
    <t>Coca-Cola</t>
  </si>
  <si>
    <t>N/A</t>
  </si>
  <si>
    <t>12805</t>
  </si>
  <si>
    <t>316908</t>
  </si>
  <si>
    <t>316902</t>
  </si>
  <si>
    <t>170326</t>
  </si>
  <si>
    <t>Pepsi</t>
  </si>
  <si>
    <t>202224</t>
  </si>
  <si>
    <t>313578</t>
  </si>
  <si>
    <t>310099</t>
  </si>
  <si>
    <t>313451</t>
  </si>
  <si>
    <t>159278</t>
  </si>
  <si>
    <t>140303</t>
  </si>
  <si>
    <t>310362</t>
  </si>
  <si>
    <t>Frito-Lay</t>
  </si>
  <si>
    <t>188813</t>
  </si>
  <si>
    <t>127719</t>
  </si>
  <si>
    <t>321259</t>
  </si>
  <si>
    <t>173904</t>
  </si>
  <si>
    <t>158548</t>
  </si>
  <si>
    <t>314485</t>
  </si>
  <si>
    <t>312153</t>
  </si>
  <si>
    <t>177129</t>
  </si>
  <si>
    <t>163900</t>
  </si>
  <si>
    <t>321260</t>
  </si>
  <si>
    <t>129364</t>
  </si>
  <si>
    <t>157690</t>
  </si>
  <si>
    <t>310347</t>
  </si>
  <si>
    <t>173391</t>
  </si>
  <si>
    <t>154142</t>
  </si>
  <si>
    <t>320826</t>
  </si>
  <si>
    <t>313580</t>
  </si>
  <si>
    <t>129537</t>
  </si>
  <si>
    <t>203232</t>
  </si>
  <si>
    <t>150515</t>
  </si>
  <si>
    <t>313460</t>
  </si>
  <si>
    <t>316866</t>
  </si>
  <si>
    <t>174364</t>
  </si>
  <si>
    <t>172083</t>
  </si>
  <si>
    <t>321216</t>
  </si>
  <si>
    <t>180372</t>
  </si>
  <si>
    <t>313172</t>
  </si>
  <si>
    <t>314457</t>
  </si>
  <si>
    <t>154597</t>
  </si>
  <si>
    <t>143512</t>
  </si>
  <si>
    <t>180808</t>
  </si>
  <si>
    <t>323008</t>
  </si>
  <si>
    <t>172937</t>
  </si>
  <si>
    <t>208419</t>
  </si>
  <si>
    <t>320034</t>
  </si>
  <si>
    <t>FREIGHT VOLUME SUMMARY BY DEPARTMENT</t>
  </si>
  <si>
    <t>Total Cases</t>
  </si>
  <si>
    <t>Total Pallets</t>
  </si>
  <si>
    <t>FREIGHT COMPLETION RATE BY DATE</t>
  </si>
  <si>
    <t>Completion %</t>
  </si>
  <si>
    <t>Shrink Actual ($)</t>
  </si>
  <si>
    <t>Shrink Plan ($)</t>
  </si>
  <si>
    <t>SKU vs Book %</t>
  </si>
  <si>
    <t>Inv vs Sales %</t>
  </si>
  <si>
    <t>Variance ($)</t>
  </si>
  <si>
    <t>Sales vs NIL Picks by Date</t>
  </si>
  <si>
    <t>Freight Volume by Department</t>
  </si>
  <si>
    <t>Freight Status Count</t>
  </si>
  <si>
    <t>Avg Sales ($k)</t>
  </si>
  <si>
    <t>Avg NIL Picks</t>
  </si>
  <si>
    <t>Count</t>
  </si>
  <si>
    <t>% of Total</t>
  </si>
  <si>
    <t>Freight Completion</t>
  </si>
  <si>
    <t>Average/Total</t>
  </si>
  <si>
    <t>NIL PICKS &amp; OUT SCANS BY DEPARTMENT  |  May 17 – May 29, 2026</t>
  </si>
  <si>
    <t>RECEIVING OPERATIONS – FREIGHT LOG  |  Apr 25 – May 29, 2026</t>
  </si>
  <si>
    <t>INVENTORY &amp; STORE METRICS  |  Apr 25 – May 29, 2026</t>
  </si>
  <si>
    <t>-</t>
  </si>
  <si>
    <t>Total/Average</t>
  </si>
  <si>
    <t>PIVOT SUMMARY – ANALYSIS  |  Angel Molina  |  OPD Department</t>
  </si>
  <si>
    <t>FTP % Change</t>
  </si>
  <si>
    <t>Sales % Change</t>
  </si>
  <si>
    <t>Nil Picks % Change</t>
  </si>
  <si>
    <t>KPI TRENDS &amp; CALCULATED METRICS  |  Observation Period: Apr 25 – May 29,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</si>
</sst>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#,##0.0"/>
    <numFmt numFmtId="166" formatCode="0.0%"/>
    <numFmt numFmtId="167" formatCode="\$#,##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C1C1C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b/>
      <sz val="11"/>
      <color rgb="FF1A2B4A"/>
      <name val="Arial"/>
      <family val="2"/>
    </font>
    <font>
      <sz val="9"/>
      <color rgb="FFAABBD0"/>
      <name val="Arial"/>
      <family val="2"/>
    </font>
    <font>
      <sz val="9"/>
      <color rgb="FF555555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A2B4A"/>
        <bgColor rgb="FF1C1C1C"/>
      </patternFill>
    </fill>
    <fill>
      <patternFill patternType="solid">
        <fgColor rgb="FF17456B"/>
        <bgColor rgb="FF1A2B4A"/>
      </patternFill>
    </fill>
    <fill>
      <patternFill patternType="solid">
        <fgColor rgb="FFEBF3FB"/>
        <bgColor rgb="FFE3F2FD"/>
      </patternFill>
    </fill>
    <fill>
      <patternFill patternType="solid">
        <fgColor rgb="FFFFFFFF"/>
        <bgColor rgb="FFF9F9F9"/>
      </patternFill>
    </fill>
    <fill>
      <patternFill patternType="solid">
        <fgColor rgb="FFFFF9C4"/>
        <bgColor rgb="FFFFF3CD"/>
      </patternFill>
    </fill>
    <fill>
      <patternFill patternType="solid">
        <fgColor rgb="FFE3F2FD"/>
        <bgColor rgb="FFEBF3FB"/>
      </patternFill>
    </fill>
    <fill>
      <patternFill patternType="solid">
        <fgColor rgb="FFE8F5E9"/>
        <bgColor rgb="FFEBF3FB"/>
      </patternFill>
    </fill>
    <fill>
      <patternFill patternType="solid">
        <fgColor theme="6" tint="0.39997558519241921"/>
        <bgColor rgb="FFEBF3FB"/>
      </patternFill>
    </fill>
    <fill>
      <patternFill patternType="solid">
        <fgColor theme="5" tint="0.59999389629810485"/>
        <bgColor rgb="FFFCE4EC"/>
      </patternFill>
    </fill>
    <fill>
      <patternFill patternType="solid">
        <fgColor theme="3" tint="0.59999389629810485"/>
        <bgColor rgb="FFEBF3FB"/>
      </patternFill>
    </fill>
    <fill>
      <patternFill patternType="solid">
        <fgColor theme="5" tint="0.59999389629810485"/>
        <bgColor rgb="FFFFEBEE"/>
      </patternFill>
    </fill>
  </fills>
  <borders count="10">
    <border>
      <left/>
      <right/>
      <top/>
      <bottom/>
      <diagonal/>
    </border>
    <border>
      <left style="medium">
        <color rgb="FF1A2B4A"/>
      </left>
      <right style="medium">
        <color rgb="FF1A2B4A"/>
      </right>
      <top style="medium">
        <color rgb="FF1A2B4A"/>
      </top>
      <bottom style="medium">
        <color rgb="FF1A2B4A"/>
      </bottom>
      <diagonal/>
    </border>
    <border>
      <left style="thin">
        <color rgb="FFBFCFE0"/>
      </left>
      <right style="thin">
        <color rgb="FFBFCFE0"/>
      </right>
      <top style="thin">
        <color rgb="FFBFCFE0"/>
      </top>
      <bottom style="thin">
        <color rgb="FFBFCFE0"/>
      </bottom>
      <diagonal/>
    </border>
    <border>
      <left style="thin">
        <color rgb="FF1A2B4A"/>
      </left>
      <right style="thin">
        <color rgb="FF1A2B4A"/>
      </right>
      <top style="thin">
        <color rgb="FF1A2B4A"/>
      </top>
      <bottom style="thin">
        <color rgb="FF1A2B4A"/>
      </bottom>
      <diagonal/>
    </border>
    <border>
      <left/>
      <right/>
      <top/>
      <bottom style="medium">
        <color rgb="FF1A2B4A"/>
      </bottom>
      <diagonal/>
    </border>
    <border>
      <left style="thin">
        <color rgb="FFBFCFE0"/>
      </left>
      <right/>
      <top style="thin">
        <color rgb="FFBFCFE0"/>
      </top>
      <bottom/>
      <diagonal/>
    </border>
    <border>
      <left/>
      <right/>
      <top style="thin">
        <color rgb="FFBFCFE0"/>
      </top>
      <bottom/>
      <diagonal/>
    </border>
    <border>
      <left style="thin">
        <color rgb="FFBFCFE0"/>
      </left>
      <right style="thin">
        <color rgb="FFBFCFE0"/>
      </right>
      <top style="thin">
        <color rgb="FFBFCFE0"/>
      </top>
      <bottom/>
      <diagonal/>
    </border>
    <border>
      <left style="medium">
        <color rgb="FF1A2B4A"/>
      </left>
      <right style="medium">
        <color rgb="FF1A2B4A"/>
      </right>
      <top/>
      <bottom style="medium">
        <color rgb="FF1A2B4A"/>
      </bottom>
      <diagonal/>
    </border>
    <border>
      <left style="thin">
        <color rgb="FF1A2B4A"/>
      </left>
      <right style="thin">
        <color rgb="FF1A2B4A"/>
      </right>
      <top/>
      <bottom style="thin">
        <color rgb="FF1A2B4A"/>
      </bottom>
      <diagonal/>
    </border>
  </borders>
  <cellStyleXfs count="1">
    <xf numFmtId="0" fontId="0" fillId="0" borderId="0"/>
  </cellStyleXfs>
  <cellXfs count="95">
    <xf numFmtId="0" fontId="0" fillId="0" borderId="0" xfId="0"/>
    <xf numFmtId="164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6" fontId="3" fillId="5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4" fillId="3" borderId="0" xfId="0" applyNumberFormat="1" applyFont="1" applyFill="1" applyAlignment="1">
      <alignment horizontal="center"/>
    </xf>
    <xf numFmtId="166" fontId="4" fillId="3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3" fontId="3" fillId="5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2" fillId="3" borderId="3" xfId="0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3" fontId="3" fillId="6" borderId="2" xfId="0" applyNumberFormat="1" applyFont="1" applyFill="1" applyBorder="1" applyAlignment="1">
      <alignment horizontal="center" vertical="center"/>
    </xf>
    <xf numFmtId="9" fontId="3" fillId="6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3" fontId="3" fillId="8" borderId="2" xfId="0" applyNumberFormat="1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9" fontId="3" fillId="5" borderId="2" xfId="0" applyNumberFormat="1" applyFont="1" applyFill="1" applyBorder="1" applyAlignment="1">
      <alignment horizontal="center" vertical="center"/>
    </xf>
    <xf numFmtId="167" fontId="3" fillId="5" borderId="2" xfId="0" applyNumberFormat="1" applyFont="1" applyFill="1" applyBorder="1" applyAlignment="1">
      <alignment horizontal="center" vertical="center"/>
    </xf>
    <xf numFmtId="167" fontId="3" fillId="4" borderId="2" xfId="0" applyNumberFormat="1" applyFont="1" applyFill="1" applyBorder="1" applyAlignment="1">
      <alignment horizontal="center" vertical="center"/>
    </xf>
    <xf numFmtId="166" fontId="3" fillId="8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66" fontId="3" fillId="7" borderId="2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wrapText="1"/>
    </xf>
    <xf numFmtId="166" fontId="3" fillId="9" borderId="2" xfId="0" applyNumberFormat="1" applyFont="1" applyFill="1" applyBorder="1" applyAlignment="1">
      <alignment horizontal="center" vertical="center"/>
    </xf>
    <xf numFmtId="166" fontId="3" fillId="10" borderId="2" xfId="0" applyNumberFormat="1" applyFont="1" applyFill="1" applyBorder="1" applyAlignment="1">
      <alignment horizontal="center" vertical="center"/>
    </xf>
    <xf numFmtId="167" fontId="3" fillId="9" borderId="2" xfId="0" applyNumberFormat="1" applyFont="1" applyFill="1" applyBorder="1" applyAlignment="1">
      <alignment horizontal="center" vertical="center"/>
    </xf>
    <xf numFmtId="164" fontId="3" fillId="9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3" fontId="3" fillId="9" borderId="2" xfId="0" applyNumberFormat="1" applyFont="1" applyFill="1" applyBorder="1" applyAlignment="1">
      <alignment horizontal="center" vertical="center"/>
    </xf>
    <xf numFmtId="9" fontId="3" fillId="9" borderId="2" xfId="0" applyNumberFormat="1" applyFont="1" applyFill="1" applyBorder="1" applyAlignment="1">
      <alignment horizontal="center" vertical="center"/>
    </xf>
    <xf numFmtId="164" fontId="3" fillId="11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/>
    </xf>
    <xf numFmtId="3" fontId="3" fillId="11" borderId="2" xfId="0" applyNumberFormat="1" applyFont="1" applyFill="1" applyBorder="1" applyAlignment="1">
      <alignment horizontal="center" vertical="center"/>
    </xf>
    <xf numFmtId="9" fontId="3" fillId="11" borderId="2" xfId="0" applyNumberFormat="1" applyFont="1" applyFill="1" applyBorder="1" applyAlignment="1">
      <alignment horizontal="center" vertical="center"/>
    </xf>
    <xf numFmtId="164" fontId="3" fillId="12" borderId="2" xfId="0" applyNumberFormat="1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3" fontId="3" fillId="12" borderId="2" xfId="0" applyNumberFormat="1" applyFont="1" applyFill="1" applyBorder="1" applyAlignment="1">
      <alignment horizontal="center" vertical="center"/>
    </xf>
    <xf numFmtId="9" fontId="3" fillId="12" borderId="2" xfId="0" applyNumberFormat="1" applyFont="1" applyFill="1" applyBorder="1" applyAlignment="1">
      <alignment horizontal="center" vertical="center"/>
    </xf>
    <xf numFmtId="166" fontId="3" fillId="12" borderId="2" xfId="0" applyNumberFormat="1" applyFont="1" applyFill="1" applyBorder="1" applyAlignment="1">
      <alignment horizontal="center" vertical="center"/>
    </xf>
    <xf numFmtId="10" fontId="3" fillId="6" borderId="2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164" fontId="3" fillId="9" borderId="7" xfId="0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left" vertical="center"/>
    </xf>
    <xf numFmtId="3" fontId="3" fillId="9" borderId="7" xfId="0" applyNumberFormat="1" applyFont="1" applyFill="1" applyBorder="1" applyAlignment="1">
      <alignment horizontal="center" vertical="center"/>
    </xf>
    <xf numFmtId="9" fontId="3" fillId="9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4" fontId="3" fillId="5" borderId="7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left" vertical="center"/>
    </xf>
    <xf numFmtId="3" fontId="3" fillId="5" borderId="7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3" fontId="3" fillId="4" borderId="7" xfId="0" applyNumberFormat="1" applyFont="1" applyFill="1" applyBorder="1" applyAlignment="1">
      <alignment horizontal="center" vertical="center"/>
    </xf>
    <xf numFmtId="166" fontId="3" fillId="4" borderId="7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167" fontId="3" fillId="4" borderId="7" xfId="0" applyNumberFormat="1" applyFont="1" applyFill="1" applyBorder="1" applyAlignment="1">
      <alignment horizontal="center" vertical="center"/>
    </xf>
    <xf numFmtId="167" fontId="3" fillId="9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6" fontId="3" fillId="10" borderId="7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3" formatCode="0%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FCE4EC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5" formatCode="#,##0.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7" formatCode="\$#,##0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7" formatCode="\$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7" formatCode="\$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3" formatCode="0%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BF3FB"/>
          <bgColor theme="6" tint="0.39997558519241921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6" formatCode="0.0%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thin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E3F2FD"/>
          <bgColor rgb="FFEBF3FB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1A2B4A"/>
        </left>
        <right style="thin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3" formatCode="#,##0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numFmt numFmtId="164" formatCode="mm/dd/yyyy"/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FE0"/>
        </left>
        <right style="thin">
          <color rgb="FFBFCFE0"/>
        </right>
        <top style="thin">
          <color rgb="FFBFCFE0"/>
        </top>
        <bottom style="thin">
          <color rgb="FFBFCFE0"/>
        </bottom>
        <vertical/>
        <horizontal/>
      </border>
    </dxf>
    <dxf>
      <border outline="0">
        <top style="thin">
          <color rgb="FFBFCFE0"/>
        </top>
      </border>
    </dxf>
    <dxf>
      <border outline="0">
        <top style="medium">
          <color rgb="FF1A2B4A"/>
        </top>
        <bottom style="thin">
          <color rgb="FFBFCF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border outline="0">
        <top style="medium">
          <color rgb="FF1A2B4A"/>
        </top>
      </border>
    </dxf>
    <dxf>
      <border outline="0">
        <bottom style="medium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1A2B4A"/>
        </left>
        <right style="medium">
          <color rgb="FF1A2B4A"/>
        </right>
        <top/>
        <bottom/>
      </border>
    </dxf>
    <dxf>
      <border outline="0">
        <top style="thin">
          <color rgb="FF1A2B4A"/>
        </top>
      </border>
    </dxf>
    <dxf>
      <border outline="0">
        <bottom style="thin">
          <color rgb="FF1A2B4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1A2B4A"/>
          <bgColor rgb="FF1745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A2B4A"/>
        </left>
        <right style="thin">
          <color rgb="FF1A2B4A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BD0"/>
      <rgbColor rgb="FF878787"/>
      <rgbColor rgb="FF9999FF"/>
      <rgbColor rgb="FF993366"/>
      <rgbColor rgb="FFFFF9C4"/>
      <rgbColor rgb="FFE3F2FD"/>
      <rgbColor rgb="FF660066"/>
      <rgbColor rgb="FFFF8080"/>
      <rgbColor rgb="FF0071CE"/>
      <rgbColor rgb="FFBFCF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FF3CD"/>
      <rgbColor rgb="FFE8E8E8"/>
      <rgbColor rgb="FFFCE4EC"/>
      <rgbColor rgb="FFFFEBEE"/>
      <rgbColor rgb="FFD9D9D9"/>
      <rgbColor rgb="FF3366FF"/>
      <rgbColor rgb="FF33CCCC"/>
      <rgbColor rgb="FF99CC00"/>
      <rgbColor rgb="FFFFC220"/>
      <rgbColor rgb="FFFF9900"/>
      <rgbColor rgb="FFE65100"/>
      <rgbColor rgb="FF555555"/>
      <rgbColor rgb="FF969696"/>
      <rgbColor rgb="FF17456B"/>
      <rgbColor rgb="FF2E7D32"/>
      <rgbColor rgb="FF003300"/>
      <rgbColor rgb="FF1C1C1C"/>
      <rgbColor rgb="FFC62828"/>
      <rgbColor rgb="FF993366"/>
      <rgbColor rgb="FF333399"/>
      <rgbColor rgb="FF1A2B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NIL Picks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'NIL Picks &amp; Out Scans'!$B$32</c:f>
              <c:strCache>
                <c:ptCount val="1"/>
                <c:pt idx="0">
                  <c:v>Total NIL Picks</c:v>
                </c:pt>
              </c:strCache>
            </c:strRef>
          </c:tx>
          <c:spPr>
            <a:solidFill>
              <a:srgbClr val="0071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'NIL Picks &amp; Out Scans'!$A$33:$A$41</c:f>
              <c:strCache>
                <c:ptCount val="9"/>
                <c:pt idx="0">
                  <c:v>Food/Consumables</c:v>
                </c:pt>
                <c:pt idx="1">
                  <c:v>Meat/Produce</c:v>
                </c:pt>
                <c:pt idx="2">
                  <c:v>Deli/Bakery</c:v>
                </c:pt>
                <c:pt idx="3">
                  <c:v>Hardlines</c:v>
                </c:pt>
                <c:pt idx="4">
                  <c:v>Home</c:v>
                </c:pt>
                <c:pt idx="5">
                  <c:v>Seasonal</c:v>
                </c:pt>
                <c:pt idx="6">
                  <c:v>Entertainment</c:v>
                </c:pt>
                <c:pt idx="7">
                  <c:v>Fashion</c:v>
                </c:pt>
                <c:pt idx="8">
                  <c:v>Auto Care Center</c:v>
                </c:pt>
              </c:strCache>
            </c:strRef>
          </c:cat>
          <c:val>
            <c:numRef>
              <c:f>'NIL Picks &amp; Out Scans'!$B$33:$B$41</c:f>
              <c:numCache>
                <c:formatCode>#,##0</c:formatCode>
                <c:ptCount val="9"/>
                <c:pt idx="0" formatCode="General">
                  <c:v>605</c:v>
                </c:pt>
                <c:pt idx="1">
                  <c:v>72</c:v>
                </c:pt>
                <c:pt idx="2">
                  <c:v>40</c:v>
                </c:pt>
                <c:pt idx="3">
                  <c:v>25</c:v>
                </c:pt>
                <c:pt idx="4">
                  <c:v>21</c:v>
                </c:pt>
                <c:pt idx="5">
                  <c:v>12</c:v>
                </c:pt>
                <c:pt idx="6">
                  <c:v>3</c:v>
                </c:pt>
                <c:pt idx="7">
                  <c:v>17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E-4205-AD28-A49F7E891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04732"/>
        <c:axId val="39646873"/>
      </c:barChart>
      <c:catAx>
        <c:axId val="5020473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NIL Picks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646873"/>
        <c:crosses val="autoZero"/>
        <c:auto val="1"/>
        <c:lblAlgn val="ctr"/>
        <c:lblOffset val="100"/>
        <c:noMultiLvlLbl val="0"/>
      </c:catAx>
      <c:valAx>
        <c:axId val="396468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047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Out Scans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'NIL Picks &amp; Out Scans'!$D$32</c:f>
              <c:strCache>
                <c:ptCount val="1"/>
                <c:pt idx="0">
                  <c:v>Total Out Scans</c:v>
                </c:pt>
              </c:strCache>
            </c:strRef>
          </c:tx>
          <c:spPr>
            <a:solidFill>
              <a:srgbClr val="C6282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'NIL Picks &amp; Out Scans'!$A$33:$A$41</c:f>
              <c:strCache>
                <c:ptCount val="9"/>
                <c:pt idx="0">
                  <c:v>Food/Consumables</c:v>
                </c:pt>
                <c:pt idx="1">
                  <c:v>Meat/Produce</c:v>
                </c:pt>
                <c:pt idx="2">
                  <c:v>Deli/Bakery</c:v>
                </c:pt>
                <c:pt idx="3">
                  <c:v>Hardlines</c:v>
                </c:pt>
                <c:pt idx="4">
                  <c:v>Home</c:v>
                </c:pt>
                <c:pt idx="5">
                  <c:v>Seasonal</c:v>
                </c:pt>
                <c:pt idx="6">
                  <c:v>Entertainment</c:v>
                </c:pt>
                <c:pt idx="7">
                  <c:v>Fashion</c:v>
                </c:pt>
                <c:pt idx="8">
                  <c:v>Auto Care Center</c:v>
                </c:pt>
              </c:strCache>
            </c:strRef>
          </c:cat>
          <c:val>
            <c:numRef>
              <c:f>'NIL Picks &amp; Out Scans'!$D$33:$D$41</c:f>
              <c:numCache>
                <c:formatCode>#,##0</c:formatCode>
                <c:ptCount val="9"/>
                <c:pt idx="0" formatCode="General">
                  <c:v>1035</c:v>
                </c:pt>
                <c:pt idx="1">
                  <c:v>78</c:v>
                </c:pt>
                <c:pt idx="2">
                  <c:v>58</c:v>
                </c:pt>
                <c:pt idx="3">
                  <c:v>394</c:v>
                </c:pt>
                <c:pt idx="4">
                  <c:v>279</c:v>
                </c:pt>
                <c:pt idx="5">
                  <c:v>232</c:v>
                </c:pt>
                <c:pt idx="6">
                  <c:v>124</c:v>
                </c:pt>
                <c:pt idx="7">
                  <c:v>0</c:v>
                </c:pt>
                <c:pt idx="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B-40BC-8B6E-66BF1385B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01897"/>
        <c:axId val="87113635"/>
      </c:barChart>
      <c:catAx>
        <c:axId val="604018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13635"/>
        <c:crosses val="autoZero"/>
        <c:auto val="1"/>
        <c:lblAlgn val="ctr"/>
        <c:lblOffset val="100"/>
        <c:noMultiLvlLbl val="0"/>
      </c:catAx>
      <c:valAx>
        <c:axId val="871136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4018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FTP % Trend Over Observation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Trends &amp; Analysis'!$E$2</c:f>
              <c:strCache>
                <c:ptCount val="1"/>
                <c:pt idx="0">
                  <c:v>FTP %</c:v>
                </c:pt>
              </c:strCache>
            </c:strRef>
          </c:tx>
          <c:spPr>
            <a:ln w="24840">
              <a:solidFill>
                <a:srgbClr val="0071C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'KPI Trends &amp; Analysis'!$E$3:$E$16</c:f>
              <c:numCache>
                <c:formatCode>0.0%</c:formatCode>
                <c:ptCount val="14"/>
                <c:pt idx="0">
                  <c:v>0.93700000000000006</c:v>
                </c:pt>
                <c:pt idx="1">
                  <c:v>0.94299999999999995</c:v>
                </c:pt>
                <c:pt idx="2">
                  <c:v>0.94199999999999995</c:v>
                </c:pt>
                <c:pt idx="3">
                  <c:v>0.94299999999999995</c:v>
                </c:pt>
                <c:pt idx="4">
                  <c:v>0.94299999999999995</c:v>
                </c:pt>
                <c:pt idx="5">
                  <c:v>0.94299999999999995</c:v>
                </c:pt>
                <c:pt idx="6">
                  <c:v>0.94699999999999995</c:v>
                </c:pt>
                <c:pt idx="7">
                  <c:v>0.93500000000000005</c:v>
                </c:pt>
                <c:pt idx="8">
                  <c:v>0.94199999999999995</c:v>
                </c:pt>
                <c:pt idx="9">
                  <c:v>0.94599999999999995</c:v>
                </c:pt>
                <c:pt idx="10">
                  <c:v>0.94599999999999995</c:v>
                </c:pt>
                <c:pt idx="11">
                  <c:v>0.94599999999999995</c:v>
                </c:pt>
                <c:pt idx="12">
                  <c:v>0.93899999999999995</c:v>
                </c:pt>
                <c:pt idx="13">
                  <c:v>0.93100000000000005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64-45E6-9171-5AAC0A3B2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26964"/>
        <c:axId val="74084856"/>
      </c:lineChart>
      <c:catAx>
        <c:axId val="95269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084856"/>
        <c:crosses val="autoZero"/>
        <c:auto val="1"/>
        <c:lblAlgn val="ctr"/>
        <c:lblOffset val="100"/>
        <c:noMultiLvlLbl val="0"/>
      </c:catAx>
      <c:valAx>
        <c:axId val="74084856"/>
        <c:scaling>
          <c:orientation val="minMax"/>
          <c:max val="0.97"/>
          <c:min val="0.9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269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NIL Picks Trend Over Observation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Trends &amp; Analysis'!$G$2</c:f>
              <c:strCache>
                <c:ptCount val="1"/>
                <c:pt idx="0">
                  <c:v>Nil Picks</c:v>
                </c:pt>
              </c:strCache>
            </c:strRef>
          </c:tx>
          <c:spPr>
            <a:ln w="2484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'KPI Trends &amp; Analysis'!$G$3:$G$16</c:f>
              <c:numCache>
                <c:formatCode>#,##0</c:formatCode>
                <c:ptCount val="14"/>
                <c:pt idx="0">
                  <c:v>64</c:v>
                </c:pt>
                <c:pt idx="1">
                  <c:v>133</c:v>
                </c:pt>
                <c:pt idx="2">
                  <c:v>127</c:v>
                </c:pt>
                <c:pt idx="3">
                  <c:v>264</c:v>
                </c:pt>
                <c:pt idx="4">
                  <c:v>406</c:v>
                </c:pt>
                <c:pt idx="5">
                  <c:v>461</c:v>
                </c:pt>
                <c:pt idx="6">
                  <c:v>350</c:v>
                </c:pt>
                <c:pt idx="7">
                  <c:v>116</c:v>
                </c:pt>
                <c:pt idx="8">
                  <c:v>345</c:v>
                </c:pt>
                <c:pt idx="9">
                  <c:v>159</c:v>
                </c:pt>
                <c:pt idx="10">
                  <c:v>219</c:v>
                </c:pt>
                <c:pt idx="11">
                  <c:v>440</c:v>
                </c:pt>
                <c:pt idx="12">
                  <c:v>134</c:v>
                </c:pt>
                <c:pt idx="13">
                  <c:v>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5F-4245-A407-0F13ACFF8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118758"/>
        <c:axId val="95153598"/>
      </c:lineChart>
      <c:catAx>
        <c:axId val="571187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153598"/>
        <c:crosses val="autoZero"/>
        <c:auto val="1"/>
        <c:lblAlgn val="ctr"/>
        <c:lblOffset val="100"/>
        <c:noMultiLvlLbl val="0"/>
      </c:catAx>
      <c:valAx>
        <c:axId val="951535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187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($k) vs NIL Picks by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Summary'!$B$4</c:f>
              <c:strCache>
                <c:ptCount val="1"/>
                <c:pt idx="0">
                  <c:v>Avg Sales ($k)</c:v>
                </c:pt>
              </c:strCache>
            </c:strRef>
          </c:tx>
          <c:spPr>
            <a:solidFill>
              <a:srgbClr val="0071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'Pivot Summary'!$A$5:$A$14</c:f>
              <c:numCache>
                <c:formatCode>mm/dd/yyyy</c:formatCode>
                <c:ptCount val="10"/>
                <c:pt idx="0">
                  <c:v>46137</c:v>
                </c:pt>
                <c:pt idx="1">
                  <c:v>46138</c:v>
                </c:pt>
                <c:pt idx="2">
                  <c:v>46143</c:v>
                </c:pt>
                <c:pt idx="3">
                  <c:v>46144</c:v>
                </c:pt>
                <c:pt idx="4">
                  <c:v>46145</c:v>
                </c:pt>
                <c:pt idx="5">
                  <c:v>46152</c:v>
                </c:pt>
                <c:pt idx="6">
                  <c:v>46158</c:v>
                </c:pt>
                <c:pt idx="7">
                  <c:v>46159</c:v>
                </c:pt>
                <c:pt idx="8">
                  <c:v>46164</c:v>
                </c:pt>
                <c:pt idx="9">
                  <c:v>46171</c:v>
                </c:pt>
              </c:numCache>
            </c:numRef>
          </c:cat>
          <c:val>
            <c:numRef>
              <c:f>'Pivot Summary'!$B$5:$B$14</c:f>
              <c:numCache>
                <c:formatCode>#,##0.0</c:formatCode>
                <c:ptCount val="10"/>
                <c:pt idx="0">
                  <c:v>18.8</c:v>
                </c:pt>
                <c:pt idx="1">
                  <c:v>43.1</c:v>
                </c:pt>
                <c:pt idx="2">
                  <c:v>56.8</c:v>
                </c:pt>
                <c:pt idx="3">
                  <c:v>313.60000000000002</c:v>
                </c:pt>
                <c:pt idx="4">
                  <c:v>216.8</c:v>
                </c:pt>
                <c:pt idx="5">
                  <c:v>79.099999999999994</c:v>
                </c:pt>
                <c:pt idx="6">
                  <c:v>265.89999999999998</c:v>
                </c:pt>
                <c:pt idx="7">
                  <c:v>172.4</c:v>
                </c:pt>
                <c:pt idx="8">
                  <c:v>107.2</c:v>
                </c:pt>
                <c:pt idx="9">
                  <c:v>70.7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0-40E4-BD98-FF734A1E9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80279"/>
        <c:axId val="85604202"/>
      </c:barChart>
      <c:lineChart>
        <c:grouping val="standard"/>
        <c:varyColors val="0"/>
        <c:ser>
          <c:idx val="1"/>
          <c:order val="1"/>
          <c:tx>
            <c:strRef>
              <c:f>'Pivot Summary'!$C$4</c:f>
              <c:strCache>
                <c:ptCount val="1"/>
                <c:pt idx="0">
                  <c:v>Avg NIL Picks</c:v>
                </c:pt>
              </c:strCache>
            </c:strRef>
          </c:tx>
          <c:spPr>
            <a:ln w="2484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'Pivot Summary'!$A$5:$A$14</c:f>
              <c:numCache>
                <c:formatCode>mm/dd/yyyy</c:formatCode>
                <c:ptCount val="10"/>
                <c:pt idx="0">
                  <c:v>46137</c:v>
                </c:pt>
                <c:pt idx="1">
                  <c:v>46138</c:v>
                </c:pt>
                <c:pt idx="2">
                  <c:v>46143</c:v>
                </c:pt>
                <c:pt idx="3">
                  <c:v>46144</c:v>
                </c:pt>
                <c:pt idx="4">
                  <c:v>46145</c:v>
                </c:pt>
                <c:pt idx="5">
                  <c:v>46152</c:v>
                </c:pt>
                <c:pt idx="6">
                  <c:v>46158</c:v>
                </c:pt>
                <c:pt idx="7">
                  <c:v>46159</c:v>
                </c:pt>
                <c:pt idx="8">
                  <c:v>46164</c:v>
                </c:pt>
                <c:pt idx="9">
                  <c:v>46171</c:v>
                </c:pt>
              </c:numCache>
            </c:numRef>
          </c:cat>
          <c:val>
            <c:numRef>
              <c:f>'Pivot Summary'!$C$5:$C$14</c:f>
              <c:numCache>
                <c:formatCode>#,##0</c:formatCode>
                <c:ptCount val="10"/>
                <c:pt idx="0">
                  <c:v>64</c:v>
                </c:pt>
                <c:pt idx="1">
                  <c:v>133</c:v>
                </c:pt>
                <c:pt idx="2">
                  <c:v>127</c:v>
                </c:pt>
                <c:pt idx="3">
                  <c:v>377</c:v>
                </c:pt>
                <c:pt idx="4">
                  <c:v>350</c:v>
                </c:pt>
                <c:pt idx="5">
                  <c:v>116</c:v>
                </c:pt>
                <c:pt idx="6">
                  <c:v>345</c:v>
                </c:pt>
                <c:pt idx="7">
                  <c:v>273</c:v>
                </c:pt>
                <c:pt idx="8">
                  <c:v>134</c:v>
                </c:pt>
                <c:pt idx="9">
                  <c:v>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20-40E4-BD98-FF734A1E9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880279"/>
        <c:axId val="85604202"/>
      </c:lineChart>
      <c:dateAx>
        <c:axId val="38880279"/>
        <c:scaling>
          <c:orientation val="minMax"/>
        </c:scaling>
        <c:delete val="0"/>
        <c:axPos val="b"/>
        <c:numFmt formatCode="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604202"/>
        <c:crosses val="autoZero"/>
        <c:auto val="1"/>
        <c:lblOffset val="100"/>
        <c:baseTimeUnit val="days"/>
      </c:dateAx>
      <c:valAx>
        <c:axId val="85604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8802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0</xdr:row>
      <xdr:rowOff>352425</xdr:rowOff>
    </xdr:from>
    <xdr:to>
      <xdr:col>19</xdr:col>
      <xdr:colOff>410550</xdr:colOff>
      <xdr:row>15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200025</xdr:colOff>
      <xdr:row>16</xdr:row>
      <xdr:rowOff>133350</xdr:rowOff>
    </xdr:from>
    <xdr:to>
      <xdr:col>19</xdr:col>
      <xdr:colOff>429600</xdr:colOff>
      <xdr:row>31</xdr:row>
      <xdr:rowOff>294510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9</xdr:col>
      <xdr:colOff>585420</xdr:colOff>
      <xdr:row>36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9525</xdr:colOff>
      <xdr:row>18</xdr:row>
      <xdr:rowOff>0</xdr:rowOff>
    </xdr:from>
    <xdr:to>
      <xdr:col>23</xdr:col>
      <xdr:colOff>537795</xdr:colOff>
      <xdr:row>36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7</xdr:col>
      <xdr:colOff>684255</xdr:colOff>
      <xdr:row>39</xdr:row>
      <xdr:rowOff>128520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C66F74-CA22-404B-AC30-62C1E59A6349}" name="Table2" displayName="Table2" ref="A3:J18" totalsRowShown="0" headerRowDxfId="67" headerRowBorderDxfId="66" tableBorderDxfId="65">
  <autoFilter ref="A3:J18" xr:uid="{87C66F74-CA22-404B-AC30-62C1E59A6349}"/>
  <tableColumns count="10">
    <tableColumn id="1" xr3:uid="{4587AEF3-39B5-4DF6-943E-0CEBD47F3486}" name="Date"/>
    <tableColumn id="2" xr3:uid="{B4E0711D-76EA-4504-9BF2-3445DF504BE2}" name="Time"/>
    <tableColumn id="3" xr3:uid="{28E9E7EE-48E4-4FFF-97AD-F7441F1F3CB1}" name="Sales ($k)"/>
    <tableColumn id="4" xr3:uid="{8B6640EE-133A-436C-94CD-995619B17B1E}" name="TY vs LY %"/>
    <tableColumn id="5" xr3:uid="{0B63D661-A70E-40A4-AEBC-7AA046A6741A}" name="Pre-Sub %"/>
    <tableColumn id="6" xr3:uid="{44D942A3-B5A8-4261-AD7C-56686E5AD4F3}" name="FTP %"/>
    <tableColumn id="7" xr3:uid="{D0223229-7E81-4D0B-AF1E-D5BB91807FE2}" name="Nil Picks"/>
    <tableColumn id="8" xr3:uid="{E0C1DF60-3838-45CA-8516-889395EE0013}" name="Out Scans"/>
    <tableColumn id="9" xr3:uid="{AA3352B1-0D49-4203-97FD-29C6CFB7EDBE}" name="GIF Remaining"/>
    <tableColumn id="10" xr3:uid="{C8C9C77E-F9D3-40B1-8C2B-382E09846F94}" name="GIF Dispens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BA10A8-0ED9-4397-8AA4-1EBA65276E6E}" name="Table3" displayName="Table3" ref="A2:E29" totalsRowShown="0" headerRowDxfId="64" dataDxfId="62" headerRowBorderDxfId="63" tableBorderDxfId="61" totalsRowBorderDxfId="60">
  <autoFilter ref="A2:E29" xr:uid="{0ABA10A8-0ED9-4397-8AA4-1EBA65276E6E}"/>
  <tableColumns count="5">
    <tableColumn id="1" xr3:uid="{034F9414-73D6-4EB6-92CC-3955897A5E19}" name="Date" dataDxfId="59"/>
    <tableColumn id="2" xr3:uid="{D0BBDBB7-051B-4193-ACE6-B541F0D8319E}" name="Time" dataDxfId="58"/>
    <tableColumn id="3" xr3:uid="{BF28C201-9D32-4A16-A49B-6A29D3CACCF3}" name="Department"/>
    <tableColumn id="4" xr3:uid="{A3D01459-B787-4DE9-8E83-81FD6407D5C2}" name="NIL Picks" dataDxfId="57"/>
    <tableColumn id="5" xr3:uid="{1DA10453-54FF-4BC6-ACE7-E22A2E11972F}" name="Items Affected" dataDxfId="56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A89D14-FCC1-494D-9D96-DD630D634737}" name="Table4" displayName="Table4" ref="G2:J29" totalsRowShown="0" headerRowDxfId="55" headerRowBorderDxfId="54" tableBorderDxfId="53" totalsRowBorderDxfId="52">
  <autoFilter ref="G2:J29" xr:uid="{78A89D14-FCC1-494D-9D96-DD630D634737}"/>
  <tableColumns count="4">
    <tableColumn id="1" xr3:uid="{C39E301B-23C4-49CC-8349-E409441F88D4}" name="Date" dataDxfId="51"/>
    <tableColumn id="2" xr3:uid="{D4B40472-0B87-4137-A4AC-18424BB6FD81}" name="Time" dataDxfId="50"/>
    <tableColumn id="3" xr3:uid="{29879444-5A8E-4649-9A94-2B5C9FAC72C9}" name="Department"/>
    <tableColumn id="4" xr3:uid="{B822CE38-89AE-4905-A11F-F6381BB585BA}" name="Out Scans" dataDxfId="4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648567-E69C-42B2-8BFD-D1193C16474E}" name="Table5" displayName="Table5" ref="A32:E41" totalsRowShown="0" headerRowDxfId="48" dataDxfId="46" headerRowBorderDxfId="47" tableBorderDxfId="45" totalsRowBorderDxfId="44">
  <autoFilter ref="A32:E41" xr:uid="{C0648567-E69C-42B2-8BFD-D1193C16474E}"/>
  <tableColumns count="5">
    <tableColumn id="1" xr3:uid="{D1E18CC8-78D5-4FD0-97F7-73C98F9D5DD7}" name="Department" dataDxfId="43"/>
    <tableColumn id="2" xr3:uid="{C42BF687-4C0B-4D22-878C-7324AE078ACC}" name="Total NIL Picks" dataDxfId="42"/>
    <tableColumn id="3" xr3:uid="{D21E6817-31D9-4A4A-9BF1-28B48A7DAE28}" name="Total Items" dataDxfId="41"/>
    <tableColumn id="4" xr3:uid="{E621C049-360F-44D4-81FC-D2674B83193F}" name="Total Out Scans" dataDxfId="40"/>
    <tableColumn id="5" xr3:uid="{D37FA606-65F4-463D-B8D4-47175647FEAC}" name="NIL % of All NIL" dataDxfId="39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C5580-4FC6-4FB0-A637-775DFD2D648F}" name="Table1" displayName="Table1" ref="A2:H93" totalsRowShown="0" headerRowDxfId="38" dataDxfId="36" headerRowBorderDxfId="37" tableBorderDxfId="35" totalsRowBorderDxfId="34">
  <autoFilter ref="A2:H93" xr:uid="{F38C5580-4FC6-4FB0-A637-775DFD2D648F}"/>
  <tableColumns count="8">
    <tableColumn id="1" xr3:uid="{10C63C55-91B4-480F-AFB0-51947C54BADA}" name="Date" dataDxfId="33"/>
    <tableColumn id="2" xr3:uid="{E0B05BEB-F8D2-427E-AB65-5E5EA74DA37D}" name="Time" dataDxfId="32"/>
    <tableColumn id="3" xr3:uid="{5884F3D4-F145-447B-A838-20AA6B714A9E}" name="Department" dataDxfId="31"/>
    <tableColumn id="4" xr3:uid="{172E63A7-27DA-4F9F-8668-3A9EFD5836C8}" name="Status" dataDxfId="30"/>
    <tableColumn id="5" xr3:uid="{04D1D436-2C7D-4F9F-8055-57F290009BA8}" name="Pallets" dataDxfId="29"/>
    <tableColumn id="6" xr3:uid="{C3E1C175-E2D5-4A01-8678-A3F6F1FB99FA}" name="Cases" dataDxfId="28"/>
    <tableColumn id="7" xr3:uid="{CE0B78DE-C8F0-4398-AB3B-BC1736D2F642}" name="Trailer ID" dataDxfId="27"/>
    <tableColumn id="8" xr3:uid="{7D502909-514E-48E3-9E62-F273E3494DF7}" name="Freight Completion" dataDxfId="26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3BA8C3-4CAD-4B57-9B02-923EF2636BD7}" name="Table6" displayName="Table6" ref="A2:F12" totalsRowShown="0" headerRowDxfId="25" dataDxfId="23" headerRowBorderDxfId="24" tableBorderDxfId="22" totalsRowBorderDxfId="21">
  <autoFilter ref="A2:F12" xr:uid="{363BA8C3-4CAD-4B57-9B02-923EF2636BD7}"/>
  <tableColumns count="6">
    <tableColumn id="1" xr3:uid="{97EA1770-6633-4533-9F49-08A190461884}" name="Date" dataDxfId="20"/>
    <tableColumn id="2" xr3:uid="{F08E9587-E518-4BEE-8E07-903033AE35DF}" name="Shrink Actual ($)" dataDxfId="19"/>
    <tableColumn id="3" xr3:uid="{9810482A-AAA2-4575-AB24-E9FD928F9A45}" name="Shrink Plan ($)" dataDxfId="18"/>
    <tableColumn id="4" xr3:uid="{F864B671-1BB3-4FDC-A423-9A2964428AE3}" name="SKU vs Book %" dataDxfId="17"/>
    <tableColumn id="5" xr3:uid="{36BA114D-985A-43C9-8B47-9014FCA16ED3}" name="Inv vs Sales %" dataDxfId="16"/>
    <tableColumn id="6" xr3:uid="{B6B32941-F27C-41D6-A1F0-4F00BC91E213}" name="Variance ($)" dataDxfId="15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D0B909-2B67-4F0A-96DB-D6945A7482BE}" name="Table7" displayName="Table7" ref="A2:J16" totalsRowShown="0" headerRowDxfId="14" dataDxfId="12" headerRowBorderDxfId="13" tableBorderDxfId="11" totalsRowBorderDxfId="10">
  <autoFilter ref="A2:J16" xr:uid="{DAD0B909-2B67-4F0A-96DB-D6945A7482BE}"/>
  <tableColumns count="10">
    <tableColumn id="1" xr3:uid="{E40ECEAA-2B58-422A-9F42-C84D69AA257F}" name="Date" dataDxfId="9"/>
    <tableColumn id="2" xr3:uid="{BAA317EC-7521-4422-84A0-BC23E614F90F}" name="Time" dataDxfId="8"/>
    <tableColumn id="3" xr3:uid="{1DA2B6BF-E166-48A8-8AF9-788AE2036D30}" name="Sales ($k)" dataDxfId="7"/>
    <tableColumn id="4" xr3:uid="{A9A373CE-ABEB-46E1-A449-E71E69C1E0B8}" name="Sales % Change" dataDxfId="6"/>
    <tableColumn id="5" xr3:uid="{757A1952-8C17-461C-8996-ABE689250B39}" name="FTP %" dataDxfId="5"/>
    <tableColumn id="6" xr3:uid="{D78447C9-646E-4D6D-A759-9FD5A7CDFEB3}" name="FTP % Change" dataDxfId="4"/>
    <tableColumn id="7" xr3:uid="{3D206CF0-7FB1-4B7B-9038-7E909A8C2124}" name="Nil Picks" dataDxfId="3"/>
    <tableColumn id="8" xr3:uid="{833485CF-3B20-497D-80A0-7352CB6929E3}" name="Nil Picks % Change" dataDxfId="2"/>
    <tableColumn id="9" xr3:uid="{9D3525F5-ABCC-430D-BC4C-EBFA7705C297}" name="Freight Compl." dataDxfId="1"/>
    <tableColumn id="10" xr3:uid="{07406BE5-F4EC-467F-BE39-EE34EE628C75}" name="GIF Remaining" dataDxfId="0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00D9FC-2068-4C09-B6A0-5CEC9FC1DF81}" name="Table8" displayName="Table8" ref="A4:E15" totalsRowShown="0" headerRowDxfId="70" headerRowBorderDxfId="69" tableBorderDxfId="68">
  <autoFilter ref="A4:E15" xr:uid="{E700D9FC-2068-4C09-B6A0-5CEC9FC1DF81}"/>
  <tableColumns count="5">
    <tableColumn id="1" xr3:uid="{5E52A888-F4ED-4172-A198-97BCF7FD424B}" name="Date"/>
    <tableColumn id="2" xr3:uid="{7E403D13-B050-40EA-AA01-7FCDFA2C54D2}" name="Avg Sales ($k)"/>
    <tableColumn id="3" xr3:uid="{D679A19B-BDED-4291-B3CA-6C571F6F5733}" name="Avg NIL Picks"/>
    <tableColumn id="4" xr3:uid="{5E105CF3-BA8A-4247-BB98-7860C17C5FE8}" name="FTP %"/>
    <tableColumn id="5" xr3:uid="{85A25DB8-0CBA-4430-9995-BD79287FE3E9}" name="Out Scan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1CE"/>
    <pageSetUpPr autoPageBreaks="0"/>
  </sheetPr>
  <dimension ref="A1:J18"/>
  <sheetViews>
    <sheetView topLeftCell="A2" zoomScaleNormal="100" workbookViewId="0">
      <selection activeCell="A18" sqref="A18"/>
    </sheetView>
  </sheetViews>
  <sheetFormatPr defaultColWidth="8.7109375" defaultRowHeight="15" x14ac:dyDescent="0.25"/>
  <cols>
    <col min="1" max="1" width="10.140625" bestFit="1" customWidth="1"/>
    <col min="2" max="2" width="13.85546875" bestFit="1" customWidth="1"/>
    <col min="3" max="3" width="11.85546875" customWidth="1"/>
    <col min="4" max="4" width="12.7109375" customWidth="1"/>
    <col min="5" max="5" width="12.42578125" customWidth="1"/>
    <col min="6" max="6" width="9" customWidth="1"/>
    <col min="7" max="7" width="10.85546875" customWidth="1"/>
    <col min="8" max="8" width="12.28515625" customWidth="1"/>
    <col min="9" max="9" width="16.7109375" customWidth="1"/>
    <col min="10" max="10" width="16.140625" customWidth="1"/>
  </cols>
  <sheetData>
    <row r="1" spans="1:10" ht="37.5" customHeight="1" x14ac:dyDescent="0.25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</row>
    <row r="2" spans="1:10" ht="18" customHeight="1" x14ac:dyDescent="0.25">
      <c r="A2" s="93" t="s">
        <v>1</v>
      </c>
      <c r="B2" s="93"/>
      <c r="C2" s="93"/>
      <c r="D2" s="93"/>
      <c r="E2" s="93"/>
      <c r="F2" s="93"/>
      <c r="G2" s="93"/>
      <c r="H2" s="93"/>
      <c r="I2" s="93"/>
      <c r="J2" s="93"/>
    </row>
    <row r="3" spans="1:10" ht="30" customHeight="1" thickBot="1" x14ac:dyDescent="0.3">
      <c r="A3" s="66" t="s">
        <v>2</v>
      </c>
      <c r="B3" s="66" t="s">
        <v>3</v>
      </c>
      <c r="C3" s="66" t="s">
        <v>4</v>
      </c>
      <c r="D3" s="66" t="s">
        <v>5</v>
      </c>
      <c r="E3" s="66" t="s">
        <v>6</v>
      </c>
      <c r="F3" s="66" t="s">
        <v>7</v>
      </c>
      <c r="G3" s="66" t="s">
        <v>8</v>
      </c>
      <c r="H3" s="66" t="s">
        <v>9</v>
      </c>
      <c r="I3" s="66" t="s">
        <v>10</v>
      </c>
      <c r="J3" s="66" t="s">
        <v>11</v>
      </c>
    </row>
    <row r="4" spans="1:10" ht="18" customHeight="1" x14ac:dyDescent="0.25">
      <c r="A4" s="1">
        <v>46137</v>
      </c>
      <c r="B4" s="2" t="s">
        <v>12</v>
      </c>
      <c r="C4" s="3">
        <v>18.8</v>
      </c>
      <c r="D4" s="4">
        <v>0.114</v>
      </c>
      <c r="E4" s="4">
        <v>0.95699999999999996</v>
      </c>
      <c r="F4" s="4">
        <v>0.93700000000000006</v>
      </c>
      <c r="G4" s="2">
        <v>64</v>
      </c>
      <c r="H4" s="2">
        <v>1308</v>
      </c>
      <c r="I4" s="2">
        <v>475</v>
      </c>
      <c r="J4" s="2">
        <v>5</v>
      </c>
    </row>
    <row r="5" spans="1:10" ht="18" customHeight="1" x14ac:dyDescent="0.25">
      <c r="A5" s="5">
        <v>46138</v>
      </c>
      <c r="B5" s="6" t="s">
        <v>13</v>
      </c>
      <c r="C5" s="7">
        <v>43.1</v>
      </c>
      <c r="D5" s="8">
        <v>2E-3</v>
      </c>
      <c r="E5" s="8">
        <v>0.96299999999999997</v>
      </c>
      <c r="F5" s="8">
        <v>0.94299999999999995</v>
      </c>
      <c r="G5" s="6">
        <v>133</v>
      </c>
      <c r="H5" s="6">
        <v>1136</v>
      </c>
      <c r="I5" s="6">
        <v>208</v>
      </c>
      <c r="J5" s="6">
        <v>12</v>
      </c>
    </row>
    <row r="6" spans="1:10" ht="18" customHeight="1" x14ac:dyDescent="0.25">
      <c r="A6" s="1">
        <v>46143</v>
      </c>
      <c r="B6" s="2" t="s">
        <v>14</v>
      </c>
      <c r="C6" s="3">
        <v>56.8</v>
      </c>
      <c r="D6" s="4">
        <v>3.0000000000000001E-3</v>
      </c>
      <c r="E6" s="4">
        <v>0.96</v>
      </c>
      <c r="F6" s="4">
        <v>0.94199999999999995</v>
      </c>
      <c r="G6" s="2">
        <v>127</v>
      </c>
      <c r="H6" s="2">
        <v>900</v>
      </c>
      <c r="I6" s="2">
        <v>459</v>
      </c>
      <c r="J6" s="2">
        <v>14</v>
      </c>
    </row>
    <row r="7" spans="1:10" ht="18" customHeight="1" x14ac:dyDescent="0.25">
      <c r="A7" s="5">
        <v>46144</v>
      </c>
      <c r="B7" s="6" t="s">
        <v>15</v>
      </c>
      <c r="C7" s="7">
        <v>246.6</v>
      </c>
      <c r="D7" s="8">
        <v>7.0999999999999994E-2</v>
      </c>
      <c r="E7" s="8">
        <v>0.96199999999999997</v>
      </c>
      <c r="F7" s="8">
        <v>0.94299999999999995</v>
      </c>
      <c r="G7" s="6">
        <v>264</v>
      </c>
      <c r="H7" s="6">
        <v>1032</v>
      </c>
      <c r="I7" s="6">
        <v>986</v>
      </c>
      <c r="J7" s="6">
        <v>55</v>
      </c>
    </row>
    <row r="8" spans="1:10" ht="18" customHeight="1" x14ac:dyDescent="0.25">
      <c r="A8" s="1">
        <v>46144</v>
      </c>
      <c r="B8" s="2" t="s">
        <v>16</v>
      </c>
      <c r="C8" s="3">
        <v>312.39999999999998</v>
      </c>
      <c r="D8" s="4">
        <v>8.4000000000000005E-2</v>
      </c>
      <c r="E8" s="4">
        <v>0.96199999999999997</v>
      </c>
      <c r="F8" s="4">
        <v>0.94299999999999995</v>
      </c>
      <c r="G8" s="2">
        <v>406</v>
      </c>
      <c r="H8" s="2">
        <v>1031</v>
      </c>
      <c r="I8" s="2">
        <v>85</v>
      </c>
      <c r="J8" s="2">
        <v>81</v>
      </c>
    </row>
    <row r="9" spans="1:10" ht="18" customHeight="1" x14ac:dyDescent="0.25">
      <c r="A9" s="5">
        <v>46144</v>
      </c>
      <c r="B9" s="6" t="s">
        <v>17</v>
      </c>
      <c r="C9" s="7">
        <v>381.9</v>
      </c>
      <c r="D9" s="8">
        <v>7.0000000000000007E-2</v>
      </c>
      <c r="E9" s="8">
        <v>0.96199999999999997</v>
      </c>
      <c r="F9" s="8">
        <v>0.94299999999999995</v>
      </c>
      <c r="G9" s="6">
        <v>461</v>
      </c>
      <c r="H9" s="6">
        <v>915</v>
      </c>
      <c r="I9" s="6">
        <v>0</v>
      </c>
      <c r="J9" s="6">
        <v>95</v>
      </c>
    </row>
    <row r="10" spans="1:10" ht="18" customHeight="1" x14ac:dyDescent="0.25">
      <c r="A10" s="1">
        <v>46145</v>
      </c>
      <c r="B10" s="2" t="s">
        <v>18</v>
      </c>
      <c r="C10" s="3">
        <v>216.8</v>
      </c>
      <c r="D10" s="4">
        <v>-8.1000000000000003E-2</v>
      </c>
      <c r="E10" s="4">
        <v>0.95899999999999996</v>
      </c>
      <c r="F10" s="4">
        <v>0.94699999999999995</v>
      </c>
      <c r="G10" s="2">
        <v>350</v>
      </c>
      <c r="H10" s="2">
        <v>910</v>
      </c>
      <c r="I10" s="2">
        <v>49</v>
      </c>
      <c r="J10" s="2">
        <v>51</v>
      </c>
    </row>
    <row r="11" spans="1:10" ht="18" customHeight="1" x14ac:dyDescent="0.25">
      <c r="A11" s="5">
        <v>46152</v>
      </c>
      <c r="B11" s="6" t="s">
        <v>14</v>
      </c>
      <c r="C11" s="7">
        <v>79.099999999999994</v>
      </c>
      <c r="D11" s="8">
        <v>-3.9E-2</v>
      </c>
      <c r="E11" s="8">
        <v>0.94699999999999995</v>
      </c>
      <c r="F11" s="8">
        <v>0.93500000000000005</v>
      </c>
      <c r="G11" s="6">
        <v>116</v>
      </c>
      <c r="H11" s="6">
        <v>945</v>
      </c>
      <c r="I11" s="6">
        <v>339</v>
      </c>
      <c r="J11" s="6">
        <v>26</v>
      </c>
    </row>
    <row r="12" spans="1:10" ht="18" customHeight="1" x14ac:dyDescent="0.25">
      <c r="A12" s="1">
        <v>46158</v>
      </c>
      <c r="B12" s="2" t="s">
        <v>19</v>
      </c>
      <c r="C12" s="3">
        <v>265.89999999999998</v>
      </c>
      <c r="D12" s="4">
        <v>-3.6999999999999998E-2</v>
      </c>
      <c r="E12" s="4">
        <v>0.95599999999999996</v>
      </c>
      <c r="F12" s="4">
        <v>0.94199999999999995</v>
      </c>
      <c r="G12" s="2">
        <v>345</v>
      </c>
      <c r="H12" s="2">
        <v>994</v>
      </c>
      <c r="I12" s="2">
        <v>40</v>
      </c>
      <c r="J12" s="2">
        <v>59</v>
      </c>
    </row>
    <row r="13" spans="1:10" ht="18" customHeight="1" x14ac:dyDescent="0.25">
      <c r="A13" s="5">
        <v>46159</v>
      </c>
      <c r="B13" s="6" t="s">
        <v>20</v>
      </c>
      <c r="C13" s="7">
        <v>97.6</v>
      </c>
      <c r="D13" s="8">
        <v>-8.6999999999999994E-2</v>
      </c>
      <c r="E13" s="8">
        <v>0.95899999999999996</v>
      </c>
      <c r="F13" s="8">
        <v>0.94599999999999995</v>
      </c>
      <c r="G13" s="6">
        <v>159</v>
      </c>
      <c r="H13" s="6">
        <v>875</v>
      </c>
      <c r="I13" s="6">
        <v>591</v>
      </c>
      <c r="J13" s="6">
        <v>30</v>
      </c>
    </row>
    <row r="14" spans="1:10" ht="18" customHeight="1" x14ac:dyDescent="0.25">
      <c r="A14" s="1">
        <v>46159</v>
      </c>
      <c r="B14" s="2" t="s">
        <v>21</v>
      </c>
      <c r="C14" s="3">
        <v>125.3</v>
      </c>
      <c r="D14" s="4">
        <v>-6.7000000000000004E-2</v>
      </c>
      <c r="E14" s="4">
        <v>0.95899999999999996</v>
      </c>
      <c r="F14" s="4">
        <v>0.94599999999999995</v>
      </c>
      <c r="G14" s="2">
        <v>219</v>
      </c>
      <c r="H14" s="2">
        <v>874</v>
      </c>
      <c r="I14" s="2">
        <v>591</v>
      </c>
      <c r="J14" s="2">
        <v>30</v>
      </c>
    </row>
    <row r="15" spans="1:10" ht="18" customHeight="1" x14ac:dyDescent="0.25">
      <c r="A15" s="5">
        <v>46159</v>
      </c>
      <c r="B15" s="6" t="s">
        <v>22</v>
      </c>
      <c r="C15" s="7">
        <v>294.39999999999998</v>
      </c>
      <c r="D15" s="8">
        <v>-7.0000000000000007E-2</v>
      </c>
      <c r="E15" s="8">
        <v>0.95899999999999996</v>
      </c>
      <c r="F15" s="8">
        <v>0.94599999999999995</v>
      </c>
      <c r="G15" s="6">
        <v>440</v>
      </c>
      <c r="H15" s="6">
        <v>804</v>
      </c>
      <c r="I15" s="6">
        <v>0</v>
      </c>
      <c r="J15" s="6">
        <v>95</v>
      </c>
    </row>
    <row r="16" spans="1:10" ht="18" customHeight="1" x14ac:dyDescent="0.25">
      <c r="A16" s="1">
        <v>46164</v>
      </c>
      <c r="B16" s="2" t="s">
        <v>23</v>
      </c>
      <c r="C16" s="3">
        <v>107.2</v>
      </c>
      <c r="D16" s="4">
        <v>-8.5000000000000006E-2</v>
      </c>
      <c r="E16" s="4">
        <v>0.95799999999999996</v>
      </c>
      <c r="F16" s="4">
        <v>0.93899999999999995</v>
      </c>
      <c r="G16" s="2">
        <v>134</v>
      </c>
      <c r="H16" s="2">
        <v>773</v>
      </c>
      <c r="I16" s="2">
        <v>1061</v>
      </c>
      <c r="J16" s="2">
        <v>26</v>
      </c>
    </row>
    <row r="17" spans="1:10" ht="18" customHeight="1" x14ac:dyDescent="0.25">
      <c r="A17" s="5">
        <v>46171</v>
      </c>
      <c r="B17" s="6" t="s">
        <v>24</v>
      </c>
      <c r="C17" s="7">
        <v>70.7</v>
      </c>
      <c r="D17" s="8">
        <v>-3.0000000000000001E-3</v>
      </c>
      <c r="E17" s="8">
        <v>0.94899999999999995</v>
      </c>
      <c r="F17" s="8">
        <v>0.93100000000000005</v>
      </c>
      <c r="G17" s="6">
        <v>226</v>
      </c>
      <c r="H17" s="6">
        <v>753</v>
      </c>
      <c r="I17" s="6">
        <v>740</v>
      </c>
      <c r="J17" s="6">
        <v>14</v>
      </c>
    </row>
    <row r="18" spans="1:10" x14ac:dyDescent="0.25">
      <c r="A18" s="72"/>
      <c r="B18" s="73" t="s">
        <v>132</v>
      </c>
      <c r="C18" s="36">
        <f>AVERAGE(C4:C17)</f>
        <v>165.4714285714285</v>
      </c>
      <c r="D18" s="37">
        <f>AVERAGE(D4:D17)</f>
        <v>-8.9285714285714281E-3</v>
      </c>
      <c r="E18" s="37">
        <f>AVERAGE(E4:E17)</f>
        <v>0.95799999999999985</v>
      </c>
      <c r="F18" s="37">
        <f>AVERAGE(F4:F17)</f>
        <v>0.94164285714285711</v>
      </c>
      <c r="G18" s="38">
        <f>SUM(G4:G17)</f>
        <v>3444</v>
      </c>
      <c r="H18" s="38">
        <f>SUM(H4:H17)</f>
        <v>13250</v>
      </c>
      <c r="I18" s="38">
        <f>AVERAGE(I4:I17)</f>
        <v>401.71428571428572</v>
      </c>
      <c r="J18" s="38">
        <f>SUM(J4:J17)</f>
        <v>593</v>
      </c>
    </row>
  </sheetData>
  <mergeCells count="2">
    <mergeCell ref="A1:J1"/>
    <mergeCell ref="A2:J2"/>
  </mergeCells>
  <conditionalFormatting sqref="G4:G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62828"/>
    <pageSetUpPr autoPageBreaks="0"/>
  </sheetPr>
  <dimension ref="A1:J41"/>
  <sheetViews>
    <sheetView tabSelected="1" zoomScale="90" zoomScaleNormal="90" workbookViewId="0">
      <selection activeCell="A30" sqref="A30"/>
    </sheetView>
  </sheetViews>
  <sheetFormatPr defaultColWidth="8.7109375" defaultRowHeight="15" x14ac:dyDescent="0.25"/>
  <cols>
    <col min="1" max="1" width="28.140625" bestFit="1" customWidth="1"/>
    <col min="2" max="2" width="16.5703125" customWidth="1"/>
    <col min="3" max="3" width="18" customWidth="1"/>
    <col min="4" max="4" width="17.42578125" customWidth="1"/>
    <col min="5" max="5" width="16.28515625" customWidth="1"/>
    <col min="6" max="6" width="3" customWidth="1"/>
    <col min="7" max="7" width="13" customWidth="1"/>
    <col min="8" max="8" width="10" customWidth="1"/>
    <col min="9" max="9" width="18" customWidth="1"/>
    <col min="10" max="10" width="12.5703125" customWidth="1"/>
  </cols>
  <sheetData>
    <row r="1" spans="1:10" ht="36" customHeight="1" thickBot="1" x14ac:dyDescent="0.3">
      <c r="A1" s="94" t="s">
        <v>133</v>
      </c>
      <c r="B1" s="94"/>
      <c r="C1" s="94"/>
      <c r="D1" s="94"/>
      <c r="E1" s="94"/>
      <c r="F1" s="94"/>
      <c r="G1" s="94"/>
      <c r="H1" s="94"/>
      <c r="I1" s="94"/>
      <c r="J1" s="94"/>
    </row>
    <row r="2" spans="1:10" ht="27.75" customHeight="1" thickBot="1" x14ac:dyDescent="0.3">
      <c r="A2" s="74" t="s">
        <v>2</v>
      </c>
      <c r="B2" s="74" t="s">
        <v>3</v>
      </c>
      <c r="C2" s="74" t="s">
        <v>25</v>
      </c>
      <c r="D2" s="74" t="s">
        <v>26</v>
      </c>
      <c r="E2" s="74" t="s">
        <v>27</v>
      </c>
      <c r="F2" s="13"/>
      <c r="G2" s="74" t="s">
        <v>2</v>
      </c>
      <c r="H2" s="74" t="s">
        <v>3</v>
      </c>
      <c r="I2" s="74" t="s">
        <v>25</v>
      </c>
      <c r="J2" s="74" t="s">
        <v>9</v>
      </c>
    </row>
    <row r="3" spans="1:10" ht="18" customHeight="1" x14ac:dyDescent="0.25">
      <c r="A3" s="5">
        <v>46159</v>
      </c>
      <c r="B3" s="6" t="s">
        <v>22</v>
      </c>
      <c r="C3" s="14" t="s">
        <v>28</v>
      </c>
      <c r="D3" s="15">
        <v>0</v>
      </c>
      <c r="E3" s="15">
        <v>0</v>
      </c>
      <c r="G3" s="5">
        <v>45794</v>
      </c>
      <c r="H3" s="6" t="s">
        <v>22</v>
      </c>
      <c r="I3" s="14" t="s">
        <v>28</v>
      </c>
      <c r="J3" s="15">
        <v>42</v>
      </c>
    </row>
    <row r="4" spans="1:10" ht="18" customHeight="1" x14ac:dyDescent="0.25">
      <c r="A4" s="1">
        <v>46159</v>
      </c>
      <c r="B4" s="2" t="s">
        <v>22</v>
      </c>
      <c r="C4" s="16" t="s">
        <v>29</v>
      </c>
      <c r="D4" s="17">
        <v>13</v>
      </c>
      <c r="E4" s="17">
        <v>7</v>
      </c>
      <c r="G4" s="1">
        <v>45794</v>
      </c>
      <c r="H4" s="2" t="s">
        <v>22</v>
      </c>
      <c r="I4" s="16" t="s">
        <v>29</v>
      </c>
      <c r="J4" s="17">
        <v>0</v>
      </c>
    </row>
    <row r="5" spans="1:10" ht="18" customHeight="1" x14ac:dyDescent="0.25">
      <c r="A5" s="5">
        <v>46159</v>
      </c>
      <c r="B5" s="6" t="s">
        <v>22</v>
      </c>
      <c r="C5" s="14" t="s">
        <v>30</v>
      </c>
      <c r="D5" s="15">
        <v>12</v>
      </c>
      <c r="E5" s="15">
        <v>7</v>
      </c>
      <c r="G5" s="5">
        <v>45794</v>
      </c>
      <c r="H5" s="6" t="s">
        <v>22</v>
      </c>
      <c r="I5" s="14" t="s">
        <v>30</v>
      </c>
      <c r="J5" s="15">
        <v>143</v>
      </c>
    </row>
    <row r="6" spans="1:10" ht="18" customHeight="1" x14ac:dyDescent="0.25">
      <c r="A6" s="1">
        <v>46159</v>
      </c>
      <c r="B6" s="2" t="s">
        <v>22</v>
      </c>
      <c r="C6" s="16" t="s">
        <v>31</v>
      </c>
      <c r="D6" s="17">
        <v>13</v>
      </c>
      <c r="E6" s="17">
        <v>11</v>
      </c>
      <c r="G6" s="1">
        <v>45794</v>
      </c>
      <c r="H6" s="2" t="s">
        <v>22</v>
      </c>
      <c r="I6" s="16" t="s">
        <v>31</v>
      </c>
      <c r="J6" s="17">
        <v>94</v>
      </c>
    </row>
    <row r="7" spans="1:10" ht="18" customHeight="1" x14ac:dyDescent="0.25">
      <c r="A7" s="5">
        <v>46159</v>
      </c>
      <c r="B7" s="6" t="s">
        <v>22</v>
      </c>
      <c r="C7" s="14" t="s">
        <v>32</v>
      </c>
      <c r="D7" s="15">
        <v>7</v>
      </c>
      <c r="E7" s="15">
        <v>7</v>
      </c>
      <c r="G7" s="5">
        <v>45794</v>
      </c>
      <c r="H7" s="6" t="s">
        <v>22</v>
      </c>
      <c r="I7" s="14" t="s">
        <v>32</v>
      </c>
      <c r="J7" s="15">
        <v>74</v>
      </c>
    </row>
    <row r="8" spans="1:10" ht="18" customHeight="1" x14ac:dyDescent="0.25">
      <c r="A8" s="1">
        <v>46159</v>
      </c>
      <c r="B8" s="2" t="s">
        <v>22</v>
      </c>
      <c r="C8" s="16" t="s">
        <v>33</v>
      </c>
      <c r="D8" s="17">
        <v>31</v>
      </c>
      <c r="E8" s="17">
        <v>17</v>
      </c>
      <c r="G8" s="1">
        <v>45794</v>
      </c>
      <c r="H8" s="2" t="s">
        <v>22</v>
      </c>
      <c r="I8" s="16" t="s">
        <v>33</v>
      </c>
      <c r="J8" s="17">
        <v>26</v>
      </c>
    </row>
    <row r="9" spans="1:10" ht="18" customHeight="1" x14ac:dyDescent="0.25">
      <c r="A9" s="5">
        <v>46159</v>
      </c>
      <c r="B9" s="6" t="s">
        <v>22</v>
      </c>
      <c r="C9" s="22" t="s">
        <v>34</v>
      </c>
      <c r="D9" s="15">
        <v>321</v>
      </c>
      <c r="E9" s="15">
        <v>189</v>
      </c>
      <c r="G9" s="5">
        <v>45794</v>
      </c>
      <c r="H9" s="6" t="s">
        <v>22</v>
      </c>
      <c r="I9" s="22" t="s">
        <v>34</v>
      </c>
      <c r="J9" s="15">
        <v>366</v>
      </c>
    </row>
    <row r="10" spans="1:10" ht="18" customHeight="1" x14ac:dyDescent="0.25">
      <c r="A10" s="1">
        <v>46159</v>
      </c>
      <c r="B10" s="2" t="s">
        <v>22</v>
      </c>
      <c r="C10" s="16" t="s">
        <v>35</v>
      </c>
      <c r="D10" s="17">
        <v>43</v>
      </c>
      <c r="E10" s="17">
        <v>27</v>
      </c>
      <c r="G10" s="1">
        <v>45794</v>
      </c>
      <c r="H10" s="2" t="s">
        <v>22</v>
      </c>
      <c r="I10" s="16" t="s">
        <v>35</v>
      </c>
      <c r="J10" s="17">
        <v>25</v>
      </c>
    </row>
    <row r="11" spans="1:10" ht="18" customHeight="1" x14ac:dyDescent="0.25">
      <c r="A11" s="5">
        <v>46159</v>
      </c>
      <c r="B11" s="6" t="s">
        <v>22</v>
      </c>
      <c r="C11" s="14" t="s">
        <v>36</v>
      </c>
      <c r="D11" s="15">
        <v>0</v>
      </c>
      <c r="E11" s="15">
        <v>0</v>
      </c>
      <c r="G11" s="5">
        <v>45794</v>
      </c>
      <c r="H11" s="6" t="s">
        <v>22</v>
      </c>
      <c r="I11" s="14" t="s">
        <v>36</v>
      </c>
      <c r="J11" s="15">
        <v>34</v>
      </c>
    </row>
    <row r="12" spans="1:10" ht="18" customHeight="1" x14ac:dyDescent="0.25">
      <c r="A12" s="1">
        <v>46164</v>
      </c>
      <c r="B12" s="2" t="s">
        <v>23</v>
      </c>
      <c r="C12" s="16" t="s">
        <v>28</v>
      </c>
      <c r="D12" s="17">
        <v>2</v>
      </c>
      <c r="E12" s="17">
        <v>2</v>
      </c>
      <c r="G12" s="1">
        <v>45799</v>
      </c>
      <c r="H12" s="2" t="s">
        <v>23</v>
      </c>
      <c r="I12" s="16" t="s">
        <v>28</v>
      </c>
      <c r="J12" s="17">
        <v>48</v>
      </c>
    </row>
    <row r="13" spans="1:10" ht="18" customHeight="1" x14ac:dyDescent="0.25">
      <c r="A13" s="5">
        <v>46164</v>
      </c>
      <c r="B13" s="6" t="s">
        <v>23</v>
      </c>
      <c r="C13" s="14" t="s">
        <v>29</v>
      </c>
      <c r="D13" s="15">
        <v>2</v>
      </c>
      <c r="E13" s="15">
        <v>1</v>
      </c>
      <c r="G13" s="5">
        <v>45799</v>
      </c>
      <c r="H13" s="6" t="s">
        <v>23</v>
      </c>
      <c r="I13" s="14" t="s">
        <v>29</v>
      </c>
      <c r="J13" s="15">
        <v>0</v>
      </c>
    </row>
    <row r="14" spans="1:10" ht="18" customHeight="1" x14ac:dyDescent="0.25">
      <c r="A14" s="1">
        <v>46164</v>
      </c>
      <c r="B14" s="2" t="s">
        <v>23</v>
      </c>
      <c r="C14" s="16" t="s">
        <v>30</v>
      </c>
      <c r="D14" s="17">
        <v>9</v>
      </c>
      <c r="E14" s="17">
        <v>9</v>
      </c>
      <c r="G14" s="1">
        <v>45799</v>
      </c>
      <c r="H14" s="2" t="s">
        <v>23</v>
      </c>
      <c r="I14" s="16" t="s">
        <v>30</v>
      </c>
      <c r="J14" s="17">
        <v>109</v>
      </c>
    </row>
    <row r="15" spans="1:10" ht="18" customHeight="1" x14ac:dyDescent="0.25">
      <c r="A15" s="5">
        <v>46164</v>
      </c>
      <c r="B15" s="6" t="s">
        <v>23</v>
      </c>
      <c r="C15" s="14" t="s">
        <v>31</v>
      </c>
      <c r="D15" s="15">
        <v>4</v>
      </c>
      <c r="E15" s="15">
        <v>3</v>
      </c>
      <c r="G15" s="5">
        <v>45799</v>
      </c>
      <c r="H15" s="6" t="s">
        <v>23</v>
      </c>
      <c r="I15" s="14" t="s">
        <v>31</v>
      </c>
      <c r="J15" s="15">
        <v>97</v>
      </c>
    </row>
    <row r="16" spans="1:10" ht="18" customHeight="1" x14ac:dyDescent="0.25">
      <c r="A16" s="1">
        <v>46164</v>
      </c>
      <c r="B16" s="2" t="s">
        <v>23</v>
      </c>
      <c r="C16" s="16" t="s">
        <v>32</v>
      </c>
      <c r="D16" s="17">
        <v>5</v>
      </c>
      <c r="E16" s="17">
        <v>2</v>
      </c>
      <c r="G16" s="1">
        <v>45799</v>
      </c>
      <c r="H16" s="2" t="s">
        <v>23</v>
      </c>
      <c r="I16" s="16" t="s">
        <v>32</v>
      </c>
      <c r="J16" s="17">
        <v>76</v>
      </c>
    </row>
    <row r="17" spans="1:10" ht="18" customHeight="1" x14ac:dyDescent="0.25">
      <c r="A17" s="5">
        <v>46164</v>
      </c>
      <c r="B17" s="6" t="s">
        <v>23</v>
      </c>
      <c r="C17" s="14" t="s">
        <v>33</v>
      </c>
      <c r="D17" s="15">
        <v>6</v>
      </c>
      <c r="E17" s="15">
        <v>3</v>
      </c>
      <c r="G17" s="5">
        <v>45799</v>
      </c>
      <c r="H17" s="6" t="s">
        <v>23</v>
      </c>
      <c r="I17" s="14" t="s">
        <v>33</v>
      </c>
      <c r="J17" s="15">
        <v>18</v>
      </c>
    </row>
    <row r="18" spans="1:10" ht="18" customHeight="1" x14ac:dyDescent="0.25">
      <c r="A18" s="1">
        <v>46164</v>
      </c>
      <c r="B18" s="2" t="s">
        <v>23</v>
      </c>
      <c r="C18" s="22" t="s">
        <v>34</v>
      </c>
      <c r="D18" s="17">
        <v>89</v>
      </c>
      <c r="E18" s="17">
        <v>58</v>
      </c>
      <c r="G18" s="1">
        <v>45799</v>
      </c>
      <c r="H18" s="2" t="s">
        <v>23</v>
      </c>
      <c r="I18" s="22" t="s">
        <v>34</v>
      </c>
      <c r="J18" s="17">
        <v>351</v>
      </c>
    </row>
    <row r="19" spans="1:10" ht="18" customHeight="1" x14ac:dyDescent="0.25">
      <c r="A19" s="5">
        <v>46164</v>
      </c>
      <c r="B19" s="6" t="s">
        <v>23</v>
      </c>
      <c r="C19" s="14" t="s">
        <v>35</v>
      </c>
      <c r="D19" s="15">
        <v>13</v>
      </c>
      <c r="E19" s="15">
        <v>12</v>
      </c>
      <c r="G19" s="5">
        <v>45799</v>
      </c>
      <c r="H19" s="6" t="s">
        <v>23</v>
      </c>
      <c r="I19" s="14" t="s">
        <v>35</v>
      </c>
      <c r="J19" s="15">
        <v>27</v>
      </c>
    </row>
    <row r="20" spans="1:10" ht="18" customHeight="1" x14ac:dyDescent="0.25">
      <c r="A20" s="1">
        <v>46164</v>
      </c>
      <c r="B20" s="2" t="s">
        <v>23</v>
      </c>
      <c r="C20" s="16" t="s">
        <v>36</v>
      </c>
      <c r="D20" s="17">
        <v>4</v>
      </c>
      <c r="E20" s="17">
        <v>3</v>
      </c>
      <c r="G20" s="1">
        <v>45799</v>
      </c>
      <c r="H20" s="2" t="s">
        <v>23</v>
      </c>
      <c r="I20" s="16" t="s">
        <v>36</v>
      </c>
      <c r="J20" s="17">
        <v>47</v>
      </c>
    </row>
    <row r="21" spans="1:10" ht="18" customHeight="1" x14ac:dyDescent="0.25">
      <c r="A21" s="5">
        <v>46171</v>
      </c>
      <c r="B21" s="6" t="s">
        <v>24</v>
      </c>
      <c r="C21" s="14" t="s">
        <v>28</v>
      </c>
      <c r="D21" s="15">
        <v>1</v>
      </c>
      <c r="E21" s="15">
        <v>1</v>
      </c>
      <c r="G21" s="5">
        <v>45806</v>
      </c>
      <c r="H21" s="6" t="s">
        <v>24</v>
      </c>
      <c r="I21" s="14" t="s">
        <v>28</v>
      </c>
      <c r="J21" s="15">
        <v>34</v>
      </c>
    </row>
    <row r="22" spans="1:10" ht="18" customHeight="1" x14ac:dyDescent="0.25">
      <c r="A22" s="1">
        <v>46171</v>
      </c>
      <c r="B22" s="2" t="s">
        <v>24</v>
      </c>
      <c r="C22" s="16" t="s">
        <v>29</v>
      </c>
      <c r="D22" s="17">
        <v>2</v>
      </c>
      <c r="E22" s="17">
        <v>2</v>
      </c>
      <c r="G22" s="1">
        <v>45806</v>
      </c>
      <c r="H22" s="2" t="s">
        <v>24</v>
      </c>
      <c r="I22" s="16" t="s">
        <v>29</v>
      </c>
      <c r="J22" s="17">
        <v>0</v>
      </c>
    </row>
    <row r="23" spans="1:10" ht="18" customHeight="1" x14ac:dyDescent="0.25">
      <c r="A23" s="5">
        <v>46171</v>
      </c>
      <c r="B23" s="6" t="s">
        <v>24</v>
      </c>
      <c r="C23" s="14" t="s">
        <v>30</v>
      </c>
      <c r="D23" s="15">
        <v>4</v>
      </c>
      <c r="E23" s="15">
        <v>2</v>
      </c>
      <c r="G23" s="5">
        <v>45806</v>
      </c>
      <c r="H23" s="6" t="s">
        <v>24</v>
      </c>
      <c r="I23" s="14" t="s">
        <v>30</v>
      </c>
      <c r="J23" s="15">
        <v>142</v>
      </c>
    </row>
    <row r="24" spans="1:10" ht="18" customHeight="1" x14ac:dyDescent="0.25">
      <c r="A24" s="1">
        <v>46171</v>
      </c>
      <c r="B24" s="2" t="s">
        <v>24</v>
      </c>
      <c r="C24" s="16" t="s">
        <v>31</v>
      </c>
      <c r="D24" s="17">
        <v>4</v>
      </c>
      <c r="E24" s="17">
        <v>3</v>
      </c>
      <c r="G24" s="1">
        <v>45806</v>
      </c>
      <c r="H24" s="2" t="s">
        <v>24</v>
      </c>
      <c r="I24" s="16" t="s">
        <v>31</v>
      </c>
      <c r="J24" s="17">
        <v>88</v>
      </c>
    </row>
    <row r="25" spans="1:10" ht="18" customHeight="1" x14ac:dyDescent="0.25">
      <c r="A25" s="5">
        <v>46171</v>
      </c>
      <c r="B25" s="6" t="s">
        <v>24</v>
      </c>
      <c r="C25" s="14" t="s">
        <v>32</v>
      </c>
      <c r="D25" s="15">
        <v>0</v>
      </c>
      <c r="E25" s="15">
        <v>0</v>
      </c>
      <c r="G25" s="5">
        <v>45806</v>
      </c>
      <c r="H25" s="6" t="s">
        <v>24</v>
      </c>
      <c r="I25" s="14" t="s">
        <v>32</v>
      </c>
      <c r="J25" s="15">
        <v>82</v>
      </c>
    </row>
    <row r="26" spans="1:10" ht="18" customHeight="1" x14ac:dyDescent="0.25">
      <c r="A26" s="1">
        <v>46171</v>
      </c>
      <c r="B26" s="2" t="s">
        <v>24</v>
      </c>
      <c r="C26" s="16" t="s">
        <v>33</v>
      </c>
      <c r="D26" s="17">
        <v>3</v>
      </c>
      <c r="E26" s="17">
        <v>2</v>
      </c>
      <c r="G26" s="1">
        <v>45806</v>
      </c>
      <c r="H26" s="2" t="s">
        <v>24</v>
      </c>
      <c r="I26" s="16" t="s">
        <v>33</v>
      </c>
      <c r="J26" s="17">
        <v>14</v>
      </c>
    </row>
    <row r="27" spans="1:10" ht="18" customHeight="1" x14ac:dyDescent="0.25">
      <c r="A27" s="5">
        <v>46171</v>
      </c>
      <c r="B27" s="6" t="s">
        <v>24</v>
      </c>
      <c r="C27" s="22" t="s">
        <v>34</v>
      </c>
      <c r="D27" s="15">
        <v>195</v>
      </c>
      <c r="E27" s="15">
        <v>98</v>
      </c>
      <c r="G27" s="5">
        <v>45806</v>
      </c>
      <c r="H27" s="6" t="s">
        <v>24</v>
      </c>
      <c r="I27" s="22" t="s">
        <v>34</v>
      </c>
      <c r="J27" s="15">
        <v>318</v>
      </c>
    </row>
    <row r="28" spans="1:10" ht="18" customHeight="1" x14ac:dyDescent="0.25">
      <c r="A28" s="1">
        <v>46171</v>
      </c>
      <c r="B28" s="2" t="s">
        <v>24</v>
      </c>
      <c r="C28" s="16" t="s">
        <v>35</v>
      </c>
      <c r="D28" s="17">
        <v>16</v>
      </c>
      <c r="E28" s="17">
        <v>6</v>
      </c>
      <c r="G28" s="1">
        <v>45806</v>
      </c>
      <c r="H28" s="2" t="s">
        <v>24</v>
      </c>
      <c r="I28" s="16" t="s">
        <v>35</v>
      </c>
      <c r="J28" s="17">
        <v>26</v>
      </c>
    </row>
    <row r="29" spans="1:10" ht="18" customHeight="1" x14ac:dyDescent="0.25">
      <c r="A29" s="75">
        <v>46171</v>
      </c>
      <c r="B29" s="76" t="s">
        <v>24</v>
      </c>
      <c r="C29" s="77" t="s">
        <v>36</v>
      </c>
      <c r="D29" s="78">
        <v>1</v>
      </c>
      <c r="E29" s="78">
        <v>1</v>
      </c>
      <c r="G29" s="75">
        <v>45806</v>
      </c>
      <c r="H29" s="76" t="s">
        <v>24</v>
      </c>
      <c r="I29" s="77" t="s">
        <v>36</v>
      </c>
      <c r="J29" s="78">
        <v>49</v>
      </c>
    </row>
    <row r="30" spans="1:10" ht="21.75" customHeight="1" x14ac:dyDescent="0.25"/>
    <row r="31" spans="1:10" x14ac:dyDescent="0.25">
      <c r="A31" s="18" t="s">
        <v>37</v>
      </c>
    </row>
    <row r="32" spans="1:10" ht="24" customHeight="1" x14ac:dyDescent="0.25">
      <c r="A32" s="79" t="s">
        <v>25</v>
      </c>
      <c r="B32" s="79" t="s">
        <v>38</v>
      </c>
      <c r="C32" s="79" t="s">
        <v>39</v>
      </c>
      <c r="D32" s="79" t="s">
        <v>40</v>
      </c>
      <c r="E32" s="79" t="s">
        <v>41</v>
      </c>
    </row>
    <row r="33" spans="1:5" ht="18" customHeight="1" x14ac:dyDescent="0.25">
      <c r="A33" s="22" t="s">
        <v>34</v>
      </c>
      <c r="B33" s="21">
        <v>605</v>
      </c>
      <c r="C33" s="21">
        <v>345</v>
      </c>
      <c r="D33" s="21">
        <v>1035</v>
      </c>
      <c r="E33" s="65">
        <v>0.75624999999999998</v>
      </c>
    </row>
    <row r="34" spans="1:5" ht="18" customHeight="1" x14ac:dyDescent="0.25">
      <c r="A34" s="14" t="s">
        <v>35</v>
      </c>
      <c r="B34" s="15">
        <v>72</v>
      </c>
      <c r="C34" s="15">
        <v>45</v>
      </c>
      <c r="D34" s="15">
        <v>78</v>
      </c>
      <c r="E34" s="8">
        <v>0.09</v>
      </c>
    </row>
    <row r="35" spans="1:5" ht="18" customHeight="1" x14ac:dyDescent="0.25">
      <c r="A35" s="16" t="s">
        <v>33</v>
      </c>
      <c r="B35" s="17">
        <v>40</v>
      </c>
      <c r="C35" s="17">
        <v>22</v>
      </c>
      <c r="D35" s="17">
        <v>58</v>
      </c>
      <c r="E35" s="4">
        <v>0.05</v>
      </c>
    </row>
    <row r="36" spans="1:5" ht="18" customHeight="1" x14ac:dyDescent="0.25">
      <c r="A36" s="14" t="s">
        <v>30</v>
      </c>
      <c r="B36" s="15">
        <v>25</v>
      </c>
      <c r="C36" s="15">
        <v>18</v>
      </c>
      <c r="D36" s="15">
        <v>394</v>
      </c>
      <c r="E36" s="8">
        <v>3.125E-2</v>
      </c>
    </row>
    <row r="37" spans="1:5" ht="18" customHeight="1" x14ac:dyDescent="0.25">
      <c r="A37" s="16" t="s">
        <v>31</v>
      </c>
      <c r="B37" s="17">
        <v>21</v>
      </c>
      <c r="C37" s="17">
        <v>17</v>
      </c>
      <c r="D37" s="17">
        <v>279</v>
      </c>
      <c r="E37" s="4">
        <v>2.6249999999999999E-2</v>
      </c>
    </row>
    <row r="38" spans="1:5" ht="18" customHeight="1" x14ac:dyDescent="0.25">
      <c r="A38" s="14" t="s">
        <v>32</v>
      </c>
      <c r="B38" s="15">
        <v>12</v>
      </c>
      <c r="C38" s="15">
        <v>9</v>
      </c>
      <c r="D38" s="15">
        <v>232</v>
      </c>
      <c r="E38" s="8">
        <v>1.4999999999999999E-2</v>
      </c>
    </row>
    <row r="39" spans="1:5" ht="18" customHeight="1" x14ac:dyDescent="0.25">
      <c r="A39" s="16" t="s">
        <v>28</v>
      </c>
      <c r="B39" s="17">
        <v>3</v>
      </c>
      <c r="C39" s="17">
        <v>3</v>
      </c>
      <c r="D39" s="17">
        <v>124</v>
      </c>
      <c r="E39" s="4">
        <v>3.7499999999999999E-3</v>
      </c>
    </row>
    <row r="40" spans="1:5" ht="18" customHeight="1" x14ac:dyDescent="0.25">
      <c r="A40" s="14" t="s">
        <v>29</v>
      </c>
      <c r="B40" s="15">
        <v>17</v>
      </c>
      <c r="C40" s="15">
        <v>10</v>
      </c>
      <c r="D40" s="15">
        <v>0</v>
      </c>
      <c r="E40" s="8">
        <v>2.1250000000000002E-2</v>
      </c>
    </row>
    <row r="41" spans="1:5" ht="18" customHeight="1" x14ac:dyDescent="0.25">
      <c r="A41" s="80" t="s">
        <v>36</v>
      </c>
      <c r="B41" s="81">
        <v>5</v>
      </c>
      <c r="C41" s="81">
        <v>4</v>
      </c>
      <c r="D41" s="81">
        <v>130</v>
      </c>
      <c r="E41" s="82">
        <v>6.2500000000000003E-3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H115"/>
  <sheetViews>
    <sheetView zoomScaleNormal="100" workbookViewId="0">
      <selection activeCell="B110" sqref="B110"/>
    </sheetView>
  </sheetViews>
  <sheetFormatPr defaultColWidth="8.7109375" defaultRowHeight="15" x14ac:dyDescent="0.25"/>
  <cols>
    <col min="1" max="1" width="18.28515625" customWidth="1"/>
    <col min="2" max="2" width="11" customWidth="1"/>
    <col min="3" max="3" width="20" customWidth="1"/>
    <col min="4" max="4" width="13" customWidth="1"/>
    <col min="5" max="5" width="10.5703125" customWidth="1"/>
    <col min="6" max="6" width="13.5703125" bestFit="1" customWidth="1"/>
    <col min="7" max="7" width="13" customWidth="1"/>
    <col min="8" max="8" width="20.5703125" customWidth="1"/>
  </cols>
  <sheetData>
    <row r="1" spans="1:8" ht="36" customHeight="1" x14ac:dyDescent="0.25">
      <c r="A1" s="91" t="s">
        <v>134</v>
      </c>
      <c r="B1" s="91"/>
      <c r="C1" s="91"/>
      <c r="D1" s="91"/>
      <c r="E1" s="91"/>
      <c r="F1" s="91"/>
      <c r="G1" s="91"/>
      <c r="H1" s="91"/>
    </row>
    <row r="2" spans="1:8" ht="27.75" customHeight="1" thickBot="1" x14ac:dyDescent="0.3">
      <c r="A2" s="66" t="s">
        <v>2</v>
      </c>
      <c r="B2" s="66" t="s">
        <v>3</v>
      </c>
      <c r="C2" s="66" t="s">
        <v>25</v>
      </c>
      <c r="D2" s="66" t="s">
        <v>42</v>
      </c>
      <c r="E2" s="66" t="s">
        <v>43</v>
      </c>
      <c r="F2" s="66" t="s">
        <v>44</v>
      </c>
      <c r="G2" s="66" t="s">
        <v>45</v>
      </c>
      <c r="H2" s="66" t="s">
        <v>131</v>
      </c>
    </row>
    <row r="3" spans="1:8" ht="18" customHeight="1" x14ac:dyDescent="0.25">
      <c r="A3" s="20">
        <v>46137</v>
      </c>
      <c r="B3" s="21" t="s">
        <v>12</v>
      </c>
      <c r="C3" s="22" t="s">
        <v>47</v>
      </c>
      <c r="D3" s="21" t="s">
        <v>48</v>
      </c>
      <c r="E3" s="23">
        <v>5</v>
      </c>
      <c r="F3" s="23">
        <v>2864</v>
      </c>
      <c r="G3" s="21" t="s">
        <v>49</v>
      </c>
      <c r="H3" s="24">
        <v>0.5</v>
      </c>
    </row>
    <row r="4" spans="1:8" ht="18" customHeight="1" x14ac:dyDescent="0.25">
      <c r="A4" s="20">
        <v>46137</v>
      </c>
      <c r="B4" s="21" t="s">
        <v>12</v>
      </c>
      <c r="C4" s="22" t="s">
        <v>50</v>
      </c>
      <c r="D4" s="21" t="s">
        <v>48</v>
      </c>
      <c r="E4" s="23">
        <v>25</v>
      </c>
      <c r="F4" s="23">
        <v>1588</v>
      </c>
      <c r="G4" s="21" t="s">
        <v>51</v>
      </c>
      <c r="H4" s="24">
        <v>0.5</v>
      </c>
    </row>
    <row r="5" spans="1:8" ht="18" customHeight="1" x14ac:dyDescent="0.25">
      <c r="A5" s="54">
        <v>46137</v>
      </c>
      <c r="B5" s="55" t="s">
        <v>12</v>
      </c>
      <c r="C5" s="56" t="s">
        <v>47</v>
      </c>
      <c r="D5" s="55" t="s">
        <v>52</v>
      </c>
      <c r="E5" s="57">
        <v>8</v>
      </c>
      <c r="F5" s="57">
        <v>2694</v>
      </c>
      <c r="G5" s="55" t="s">
        <v>53</v>
      </c>
      <c r="H5" s="58">
        <v>0.5</v>
      </c>
    </row>
    <row r="6" spans="1:8" ht="18" customHeight="1" x14ac:dyDescent="0.25">
      <c r="A6" s="59">
        <v>46137</v>
      </c>
      <c r="B6" s="60" t="s">
        <v>12</v>
      </c>
      <c r="C6" s="61" t="s">
        <v>50</v>
      </c>
      <c r="D6" s="60" t="s">
        <v>54</v>
      </c>
      <c r="E6" s="62">
        <v>6</v>
      </c>
      <c r="F6" s="62">
        <v>408</v>
      </c>
      <c r="G6" s="60" t="s">
        <v>55</v>
      </c>
      <c r="H6" s="63">
        <v>0.5</v>
      </c>
    </row>
    <row r="7" spans="1:8" ht="18" customHeight="1" x14ac:dyDescent="0.25">
      <c r="A7" s="59">
        <v>46137</v>
      </c>
      <c r="B7" s="60" t="s">
        <v>12</v>
      </c>
      <c r="C7" s="61" t="s">
        <v>50</v>
      </c>
      <c r="D7" s="60" t="s">
        <v>54</v>
      </c>
      <c r="E7" s="62">
        <v>13</v>
      </c>
      <c r="F7" s="62">
        <v>996</v>
      </c>
      <c r="G7" s="60" t="s">
        <v>56</v>
      </c>
      <c r="H7" s="63">
        <v>0.5</v>
      </c>
    </row>
    <row r="8" spans="1:8" ht="18" customHeight="1" x14ac:dyDescent="0.25">
      <c r="A8" s="59">
        <v>46137</v>
      </c>
      <c r="B8" s="60" t="s">
        <v>12</v>
      </c>
      <c r="C8" s="61" t="s">
        <v>57</v>
      </c>
      <c r="D8" s="60" t="s">
        <v>54</v>
      </c>
      <c r="E8" s="62">
        <v>11</v>
      </c>
      <c r="F8" s="62">
        <v>999</v>
      </c>
      <c r="G8" s="60" t="s">
        <v>58</v>
      </c>
      <c r="H8" s="63">
        <v>0.5</v>
      </c>
    </row>
    <row r="9" spans="1:8" ht="18" customHeight="1" x14ac:dyDescent="0.25">
      <c r="A9" s="49">
        <v>46137</v>
      </c>
      <c r="B9" s="50" t="s">
        <v>12</v>
      </c>
      <c r="C9" s="51" t="s">
        <v>59</v>
      </c>
      <c r="D9" s="50" t="s">
        <v>60</v>
      </c>
      <c r="E9" s="52">
        <v>13</v>
      </c>
      <c r="F9" s="52">
        <v>564</v>
      </c>
      <c r="G9" s="50" t="s">
        <v>61</v>
      </c>
      <c r="H9" s="53">
        <v>0.5</v>
      </c>
    </row>
    <row r="10" spans="1:8" ht="18" customHeight="1" x14ac:dyDescent="0.25">
      <c r="A10" s="49">
        <v>46137</v>
      </c>
      <c r="B10" s="50" t="s">
        <v>12</v>
      </c>
      <c r="C10" s="51" t="s">
        <v>57</v>
      </c>
      <c r="D10" s="50" t="s">
        <v>60</v>
      </c>
      <c r="E10" s="52">
        <v>11</v>
      </c>
      <c r="F10" s="52">
        <v>908</v>
      </c>
      <c r="G10" s="50" t="s">
        <v>62</v>
      </c>
      <c r="H10" s="53">
        <v>0.5</v>
      </c>
    </row>
    <row r="11" spans="1:8" ht="18" customHeight="1" x14ac:dyDescent="0.25">
      <c r="A11" s="54">
        <v>46138</v>
      </c>
      <c r="B11" s="55" t="s">
        <v>13</v>
      </c>
      <c r="C11" s="56" t="s">
        <v>47</v>
      </c>
      <c r="D11" s="55" t="s">
        <v>52</v>
      </c>
      <c r="E11" s="57">
        <v>5</v>
      </c>
      <c r="F11" s="57">
        <v>2410</v>
      </c>
      <c r="G11" s="55" t="s">
        <v>63</v>
      </c>
      <c r="H11" s="58">
        <v>0.55600000000000005</v>
      </c>
    </row>
    <row r="12" spans="1:8" ht="18" customHeight="1" x14ac:dyDescent="0.25">
      <c r="A12" s="54">
        <v>46138</v>
      </c>
      <c r="B12" s="55" t="s">
        <v>13</v>
      </c>
      <c r="C12" s="56" t="s">
        <v>64</v>
      </c>
      <c r="D12" s="55" t="s">
        <v>52</v>
      </c>
      <c r="E12" s="57">
        <v>3</v>
      </c>
      <c r="F12" s="57">
        <v>201</v>
      </c>
      <c r="G12" s="55" t="s">
        <v>65</v>
      </c>
      <c r="H12" s="58">
        <v>0.55600000000000005</v>
      </c>
    </row>
    <row r="13" spans="1:8" ht="18" customHeight="1" x14ac:dyDescent="0.25">
      <c r="A13" s="59">
        <v>46138</v>
      </c>
      <c r="B13" s="60" t="s">
        <v>13</v>
      </c>
      <c r="C13" s="61" t="s">
        <v>50</v>
      </c>
      <c r="D13" s="60" t="s">
        <v>54</v>
      </c>
      <c r="E13" s="62">
        <v>20</v>
      </c>
      <c r="F13" s="62">
        <v>1432</v>
      </c>
      <c r="G13" s="60" t="s">
        <v>66</v>
      </c>
      <c r="H13" s="63">
        <v>0.55600000000000005</v>
      </c>
    </row>
    <row r="14" spans="1:8" ht="18" customHeight="1" x14ac:dyDescent="0.25">
      <c r="A14" s="59">
        <v>46138</v>
      </c>
      <c r="B14" s="60" t="s">
        <v>13</v>
      </c>
      <c r="C14" s="61" t="s">
        <v>57</v>
      </c>
      <c r="D14" s="60" t="s">
        <v>54</v>
      </c>
      <c r="E14" s="62">
        <v>11</v>
      </c>
      <c r="F14" s="62">
        <v>1096</v>
      </c>
      <c r="G14" s="60" t="s">
        <v>67</v>
      </c>
      <c r="H14" s="63">
        <v>0.55600000000000005</v>
      </c>
    </row>
    <row r="15" spans="1:8" ht="18" customHeight="1" x14ac:dyDescent="0.25">
      <c r="A15" s="49">
        <v>46138</v>
      </c>
      <c r="B15" s="50" t="s">
        <v>13</v>
      </c>
      <c r="C15" s="51" t="s">
        <v>59</v>
      </c>
      <c r="D15" s="50" t="s">
        <v>60</v>
      </c>
      <c r="E15" s="52">
        <v>13</v>
      </c>
      <c r="F15" s="52">
        <v>622</v>
      </c>
      <c r="G15" s="50" t="s">
        <v>68</v>
      </c>
      <c r="H15" s="53">
        <v>0.55600000000000005</v>
      </c>
    </row>
    <row r="16" spans="1:8" ht="18" customHeight="1" x14ac:dyDescent="0.25">
      <c r="A16" s="49">
        <v>46138</v>
      </c>
      <c r="B16" s="50" t="s">
        <v>13</v>
      </c>
      <c r="C16" s="51" t="s">
        <v>47</v>
      </c>
      <c r="D16" s="50" t="s">
        <v>60</v>
      </c>
      <c r="E16" s="52">
        <v>8</v>
      </c>
      <c r="F16" s="52">
        <v>2694</v>
      </c>
      <c r="G16" s="50" t="s">
        <v>53</v>
      </c>
      <c r="H16" s="53">
        <v>0.55600000000000005</v>
      </c>
    </row>
    <row r="17" spans="1:8" ht="18" customHeight="1" x14ac:dyDescent="0.25">
      <c r="A17" s="49">
        <v>46138</v>
      </c>
      <c r="B17" s="50" t="s">
        <v>13</v>
      </c>
      <c r="C17" s="51" t="s">
        <v>50</v>
      </c>
      <c r="D17" s="50" t="s">
        <v>60</v>
      </c>
      <c r="E17" s="52">
        <v>13</v>
      </c>
      <c r="F17" s="52">
        <v>996</v>
      </c>
      <c r="G17" s="50" t="s">
        <v>69</v>
      </c>
      <c r="H17" s="53">
        <v>0.55600000000000005</v>
      </c>
    </row>
    <row r="18" spans="1:8" ht="18" customHeight="1" x14ac:dyDescent="0.25">
      <c r="A18" s="49">
        <v>46138</v>
      </c>
      <c r="B18" s="50" t="s">
        <v>13</v>
      </c>
      <c r="C18" s="51" t="s">
        <v>57</v>
      </c>
      <c r="D18" s="50" t="s">
        <v>60</v>
      </c>
      <c r="E18" s="52">
        <v>11</v>
      </c>
      <c r="F18" s="52">
        <v>999</v>
      </c>
      <c r="G18" s="50" t="s">
        <v>58</v>
      </c>
      <c r="H18" s="53">
        <v>0.55600000000000005</v>
      </c>
    </row>
    <row r="19" spans="1:8" ht="18" customHeight="1" x14ac:dyDescent="0.25">
      <c r="A19" s="49">
        <v>46138</v>
      </c>
      <c r="B19" s="50" t="s">
        <v>13</v>
      </c>
      <c r="C19" s="51" t="s">
        <v>50</v>
      </c>
      <c r="D19" s="50" t="s">
        <v>60</v>
      </c>
      <c r="E19" s="52">
        <v>6</v>
      </c>
      <c r="F19" s="52">
        <v>408</v>
      </c>
      <c r="G19" s="50" t="s">
        <v>55</v>
      </c>
      <c r="H19" s="53">
        <v>0.55600000000000005</v>
      </c>
    </row>
    <row r="20" spans="1:8" ht="18" customHeight="1" x14ac:dyDescent="0.25">
      <c r="A20" s="20">
        <v>46143</v>
      </c>
      <c r="B20" s="21" t="s">
        <v>14</v>
      </c>
      <c r="C20" s="22" t="s">
        <v>64</v>
      </c>
      <c r="D20" s="21" t="s">
        <v>48</v>
      </c>
      <c r="E20" s="23" t="s">
        <v>65</v>
      </c>
      <c r="F20" s="23">
        <v>589</v>
      </c>
      <c r="G20" s="21" t="s">
        <v>65</v>
      </c>
      <c r="H20" s="24">
        <v>0.77800000000000002</v>
      </c>
    </row>
    <row r="21" spans="1:8" ht="18" customHeight="1" x14ac:dyDescent="0.25">
      <c r="A21" s="20">
        <v>46143</v>
      </c>
      <c r="B21" s="21" t="s">
        <v>14</v>
      </c>
      <c r="C21" s="22" t="s">
        <v>70</v>
      </c>
      <c r="D21" s="21" t="s">
        <v>48</v>
      </c>
      <c r="E21" s="23">
        <v>4</v>
      </c>
      <c r="F21" s="23" t="s">
        <v>65</v>
      </c>
      <c r="G21" s="21" t="s">
        <v>65</v>
      </c>
      <c r="H21" s="24">
        <v>0.77800000000000002</v>
      </c>
    </row>
    <row r="22" spans="1:8" ht="18" customHeight="1" x14ac:dyDescent="0.25">
      <c r="A22" s="20">
        <v>46143</v>
      </c>
      <c r="B22" s="21" t="s">
        <v>14</v>
      </c>
      <c r="C22" s="22" t="s">
        <v>47</v>
      </c>
      <c r="D22" s="21" t="s">
        <v>48</v>
      </c>
      <c r="E22" s="23">
        <v>6</v>
      </c>
      <c r="F22" s="23">
        <v>2841</v>
      </c>
      <c r="G22" s="21" t="s">
        <v>65</v>
      </c>
      <c r="H22" s="24">
        <v>0.77800000000000002</v>
      </c>
    </row>
    <row r="23" spans="1:8" ht="18" customHeight="1" x14ac:dyDescent="0.25">
      <c r="A23" s="59">
        <v>46143</v>
      </c>
      <c r="B23" s="60" t="s">
        <v>14</v>
      </c>
      <c r="C23" s="61" t="s">
        <v>50</v>
      </c>
      <c r="D23" s="60" t="s">
        <v>54</v>
      </c>
      <c r="E23" s="62">
        <v>20</v>
      </c>
      <c r="F23" s="62">
        <v>1357</v>
      </c>
      <c r="G23" s="60" t="s">
        <v>71</v>
      </c>
      <c r="H23" s="63">
        <v>0.77800000000000002</v>
      </c>
    </row>
    <row r="24" spans="1:8" ht="18" customHeight="1" x14ac:dyDescent="0.25">
      <c r="A24" s="59">
        <v>46143</v>
      </c>
      <c r="B24" s="60" t="s">
        <v>14</v>
      </c>
      <c r="C24" s="61" t="s">
        <v>57</v>
      </c>
      <c r="D24" s="60" t="s">
        <v>54</v>
      </c>
      <c r="E24" s="62">
        <v>10</v>
      </c>
      <c r="F24" s="62">
        <v>960</v>
      </c>
      <c r="G24" s="60" t="s">
        <v>72</v>
      </c>
      <c r="H24" s="63">
        <v>0.77800000000000002</v>
      </c>
    </row>
    <row r="25" spans="1:8" ht="18" customHeight="1" x14ac:dyDescent="0.25">
      <c r="A25" s="49">
        <v>46143</v>
      </c>
      <c r="B25" s="50" t="s">
        <v>14</v>
      </c>
      <c r="C25" s="51" t="s">
        <v>59</v>
      </c>
      <c r="D25" s="50" t="s">
        <v>60</v>
      </c>
      <c r="E25" s="52">
        <v>16</v>
      </c>
      <c r="F25" s="52">
        <v>729</v>
      </c>
      <c r="G25" s="50" t="s">
        <v>73</v>
      </c>
      <c r="H25" s="53">
        <v>0.77800000000000002</v>
      </c>
    </row>
    <row r="26" spans="1:8" ht="18" customHeight="1" x14ac:dyDescent="0.25">
      <c r="A26" s="49">
        <v>46143</v>
      </c>
      <c r="B26" s="50" t="s">
        <v>14</v>
      </c>
      <c r="C26" s="51" t="s">
        <v>57</v>
      </c>
      <c r="D26" s="50" t="s">
        <v>60</v>
      </c>
      <c r="E26" s="52">
        <v>11</v>
      </c>
      <c r="F26" s="52">
        <v>993</v>
      </c>
      <c r="G26" s="50" t="s">
        <v>74</v>
      </c>
      <c r="H26" s="53">
        <v>0.77800000000000002</v>
      </c>
    </row>
    <row r="27" spans="1:8" ht="18" customHeight="1" x14ac:dyDescent="0.25">
      <c r="A27" s="49">
        <v>46143</v>
      </c>
      <c r="B27" s="50" t="s">
        <v>14</v>
      </c>
      <c r="C27" s="51" t="s">
        <v>47</v>
      </c>
      <c r="D27" s="50" t="s">
        <v>60</v>
      </c>
      <c r="E27" s="52">
        <v>3</v>
      </c>
      <c r="F27" s="52">
        <v>2078</v>
      </c>
      <c r="G27" s="50" t="s">
        <v>75</v>
      </c>
      <c r="H27" s="53">
        <v>0.77800000000000002</v>
      </c>
    </row>
    <row r="28" spans="1:8" ht="18" customHeight="1" x14ac:dyDescent="0.25">
      <c r="A28" s="49">
        <v>46143</v>
      </c>
      <c r="B28" s="50" t="s">
        <v>14</v>
      </c>
      <c r="C28" s="51" t="s">
        <v>50</v>
      </c>
      <c r="D28" s="50" t="s">
        <v>60</v>
      </c>
      <c r="E28" s="52">
        <v>21</v>
      </c>
      <c r="F28" s="52">
        <v>1479</v>
      </c>
      <c r="G28" s="50" t="s">
        <v>76</v>
      </c>
      <c r="H28" s="53">
        <v>0.77800000000000002</v>
      </c>
    </row>
    <row r="29" spans="1:8" ht="18" customHeight="1" x14ac:dyDescent="0.25">
      <c r="A29" s="20">
        <v>46144</v>
      </c>
      <c r="B29" s="21" t="s">
        <v>15</v>
      </c>
      <c r="C29" s="22" t="s">
        <v>59</v>
      </c>
      <c r="D29" s="21" t="s">
        <v>48</v>
      </c>
      <c r="E29" s="23">
        <v>17</v>
      </c>
      <c r="F29" s="23">
        <v>586</v>
      </c>
      <c r="G29" s="21" t="s">
        <v>77</v>
      </c>
      <c r="H29" s="24">
        <v>0.85699999999999998</v>
      </c>
    </row>
    <row r="30" spans="1:8" ht="18" customHeight="1" x14ac:dyDescent="0.25">
      <c r="A30" s="20">
        <v>46144</v>
      </c>
      <c r="B30" s="21" t="s">
        <v>15</v>
      </c>
      <c r="C30" s="22" t="s">
        <v>78</v>
      </c>
      <c r="D30" s="21" t="s">
        <v>48</v>
      </c>
      <c r="E30" s="23">
        <v>5</v>
      </c>
      <c r="F30" s="23">
        <v>755</v>
      </c>
      <c r="G30" s="21" t="s">
        <v>65</v>
      </c>
      <c r="H30" s="24">
        <v>0.85699999999999998</v>
      </c>
    </row>
    <row r="31" spans="1:8" ht="18" customHeight="1" x14ac:dyDescent="0.25">
      <c r="A31" s="20">
        <v>46144</v>
      </c>
      <c r="B31" s="21" t="s">
        <v>15</v>
      </c>
      <c r="C31" s="22" t="s">
        <v>50</v>
      </c>
      <c r="D31" s="21" t="s">
        <v>48</v>
      </c>
      <c r="E31" s="23">
        <v>20</v>
      </c>
      <c r="F31" s="23">
        <v>1332</v>
      </c>
      <c r="G31" s="21" t="s">
        <v>79</v>
      </c>
      <c r="H31" s="24">
        <v>0.85699999999999998</v>
      </c>
    </row>
    <row r="32" spans="1:8" ht="18" customHeight="1" x14ac:dyDescent="0.25">
      <c r="A32" s="20">
        <v>46144</v>
      </c>
      <c r="B32" s="21" t="s">
        <v>15</v>
      </c>
      <c r="C32" s="22" t="s">
        <v>47</v>
      </c>
      <c r="D32" s="21" t="s">
        <v>48</v>
      </c>
      <c r="E32" s="23">
        <v>6</v>
      </c>
      <c r="F32" s="23">
        <v>2854</v>
      </c>
      <c r="G32" s="21" t="s">
        <v>80</v>
      </c>
      <c r="H32" s="24">
        <v>0.85699999999999998</v>
      </c>
    </row>
    <row r="33" spans="1:8" ht="18" customHeight="1" x14ac:dyDescent="0.25">
      <c r="A33" s="49">
        <v>46144</v>
      </c>
      <c r="B33" s="50" t="s">
        <v>15</v>
      </c>
      <c r="C33" s="51" t="s">
        <v>57</v>
      </c>
      <c r="D33" s="50" t="s">
        <v>52</v>
      </c>
      <c r="E33" s="52">
        <v>12</v>
      </c>
      <c r="F33" s="52">
        <v>976</v>
      </c>
      <c r="G33" s="50" t="s">
        <v>81</v>
      </c>
      <c r="H33" s="53">
        <v>0.85699999999999998</v>
      </c>
    </row>
    <row r="34" spans="1:8" ht="18" customHeight="1" x14ac:dyDescent="0.25">
      <c r="A34" s="49">
        <v>46144</v>
      </c>
      <c r="B34" s="50" t="s">
        <v>15</v>
      </c>
      <c r="C34" s="51" t="s">
        <v>50</v>
      </c>
      <c r="D34" s="50" t="s">
        <v>60</v>
      </c>
      <c r="E34" s="52">
        <v>20</v>
      </c>
      <c r="F34" s="52">
        <v>1357</v>
      </c>
      <c r="G34" s="50" t="s">
        <v>71</v>
      </c>
      <c r="H34" s="53">
        <v>0.85699999999999998</v>
      </c>
    </row>
    <row r="35" spans="1:8" ht="18" customHeight="1" x14ac:dyDescent="0.25">
      <c r="A35" s="49">
        <v>46144</v>
      </c>
      <c r="B35" s="50" t="s">
        <v>15</v>
      </c>
      <c r="C35" s="51" t="s">
        <v>57</v>
      </c>
      <c r="D35" s="50" t="s">
        <v>60</v>
      </c>
      <c r="E35" s="52">
        <v>10</v>
      </c>
      <c r="F35" s="52">
        <v>960</v>
      </c>
      <c r="G35" s="50" t="s">
        <v>72</v>
      </c>
      <c r="H35" s="53">
        <v>0.85699999999999998</v>
      </c>
    </row>
    <row r="36" spans="1:8" ht="18" customHeight="1" x14ac:dyDescent="0.25">
      <c r="A36" s="20">
        <v>46144</v>
      </c>
      <c r="B36" s="21" t="s">
        <v>17</v>
      </c>
      <c r="C36" s="22" t="s">
        <v>59</v>
      </c>
      <c r="D36" s="21" t="s">
        <v>48</v>
      </c>
      <c r="E36" s="23">
        <v>17</v>
      </c>
      <c r="F36" s="23">
        <v>586</v>
      </c>
      <c r="G36" s="21" t="s">
        <v>77</v>
      </c>
      <c r="H36" s="24">
        <v>1</v>
      </c>
    </row>
    <row r="37" spans="1:8" ht="18" customHeight="1" x14ac:dyDescent="0.25">
      <c r="A37" s="20">
        <v>46144</v>
      </c>
      <c r="B37" s="21" t="s">
        <v>17</v>
      </c>
      <c r="C37" s="22" t="s">
        <v>78</v>
      </c>
      <c r="D37" s="21" t="s">
        <v>48</v>
      </c>
      <c r="E37" s="23">
        <v>5</v>
      </c>
      <c r="F37" s="23">
        <v>755</v>
      </c>
      <c r="G37" s="21" t="s">
        <v>65</v>
      </c>
      <c r="H37" s="24">
        <v>1</v>
      </c>
    </row>
    <row r="38" spans="1:8" ht="18" customHeight="1" x14ac:dyDescent="0.25">
      <c r="A38" s="49">
        <v>46144</v>
      </c>
      <c r="B38" s="50" t="s">
        <v>17</v>
      </c>
      <c r="C38" s="51" t="s">
        <v>50</v>
      </c>
      <c r="D38" s="50" t="s">
        <v>60</v>
      </c>
      <c r="E38" s="52">
        <v>20</v>
      </c>
      <c r="F38" s="52">
        <v>1332</v>
      </c>
      <c r="G38" s="50" t="s">
        <v>79</v>
      </c>
      <c r="H38" s="53">
        <v>1</v>
      </c>
    </row>
    <row r="39" spans="1:8" ht="18" customHeight="1" x14ac:dyDescent="0.25">
      <c r="A39" s="20">
        <v>46144</v>
      </c>
      <c r="B39" s="21" t="s">
        <v>17</v>
      </c>
      <c r="C39" s="22" t="s">
        <v>47</v>
      </c>
      <c r="D39" s="21" t="s">
        <v>48</v>
      </c>
      <c r="E39" s="23">
        <v>6</v>
      </c>
      <c r="F39" s="23">
        <v>2854</v>
      </c>
      <c r="G39" s="21" t="s">
        <v>80</v>
      </c>
      <c r="H39" s="24">
        <v>1</v>
      </c>
    </row>
    <row r="40" spans="1:8" ht="18" customHeight="1" x14ac:dyDescent="0.25">
      <c r="A40" s="49">
        <v>46144</v>
      </c>
      <c r="B40" s="50" t="s">
        <v>17</v>
      </c>
      <c r="C40" s="51" t="s">
        <v>57</v>
      </c>
      <c r="D40" s="50" t="s">
        <v>60</v>
      </c>
      <c r="E40" s="52">
        <v>12</v>
      </c>
      <c r="F40" s="52">
        <v>976</v>
      </c>
      <c r="G40" s="50" t="s">
        <v>81</v>
      </c>
      <c r="H40" s="53">
        <v>1</v>
      </c>
    </row>
    <row r="41" spans="1:8" ht="18" customHeight="1" x14ac:dyDescent="0.25">
      <c r="A41" s="49">
        <v>46144</v>
      </c>
      <c r="B41" s="50" t="s">
        <v>17</v>
      </c>
      <c r="C41" s="51" t="s">
        <v>50</v>
      </c>
      <c r="D41" s="50" t="s">
        <v>60</v>
      </c>
      <c r="E41" s="52">
        <v>20</v>
      </c>
      <c r="F41" s="52">
        <v>1357</v>
      </c>
      <c r="G41" s="50" t="s">
        <v>71</v>
      </c>
      <c r="H41" s="53">
        <v>1</v>
      </c>
    </row>
    <row r="42" spans="1:8" ht="18" customHeight="1" x14ac:dyDescent="0.25">
      <c r="A42" s="49">
        <v>46144</v>
      </c>
      <c r="B42" s="50" t="s">
        <v>17</v>
      </c>
      <c r="C42" s="51" t="s">
        <v>57</v>
      </c>
      <c r="D42" s="50" t="s">
        <v>60</v>
      </c>
      <c r="E42" s="52">
        <v>10</v>
      </c>
      <c r="F42" s="52">
        <v>960</v>
      </c>
      <c r="G42" s="50" t="s">
        <v>72</v>
      </c>
      <c r="H42" s="53">
        <v>1</v>
      </c>
    </row>
    <row r="43" spans="1:8" ht="18" customHeight="1" x14ac:dyDescent="0.25">
      <c r="A43" s="20">
        <v>46145</v>
      </c>
      <c r="B43" s="21" t="s">
        <v>18</v>
      </c>
      <c r="C43" s="22" t="s">
        <v>47</v>
      </c>
      <c r="D43" s="21" t="s">
        <v>48</v>
      </c>
      <c r="E43" s="23">
        <v>8</v>
      </c>
      <c r="F43" s="23">
        <v>2141</v>
      </c>
      <c r="G43" s="21" t="s">
        <v>82</v>
      </c>
      <c r="H43" s="24">
        <v>0.71399999999999997</v>
      </c>
    </row>
    <row r="44" spans="1:8" ht="18" customHeight="1" x14ac:dyDescent="0.25">
      <c r="A44" s="20">
        <v>46145</v>
      </c>
      <c r="B44" s="21" t="s">
        <v>18</v>
      </c>
      <c r="C44" s="22" t="s">
        <v>50</v>
      </c>
      <c r="D44" s="21" t="s">
        <v>48</v>
      </c>
      <c r="E44" s="23">
        <v>20</v>
      </c>
      <c r="F44" s="23">
        <v>1306</v>
      </c>
      <c r="G44" s="21" t="s">
        <v>83</v>
      </c>
      <c r="H44" s="24">
        <v>0.71399999999999997</v>
      </c>
    </row>
    <row r="45" spans="1:8" ht="18" customHeight="1" x14ac:dyDescent="0.25">
      <c r="A45" s="49">
        <v>46145</v>
      </c>
      <c r="B45" s="50" t="s">
        <v>18</v>
      </c>
      <c r="C45" s="51" t="s">
        <v>57</v>
      </c>
      <c r="D45" s="50" t="s">
        <v>52</v>
      </c>
      <c r="E45" s="52">
        <v>11</v>
      </c>
      <c r="F45" s="52">
        <v>1014</v>
      </c>
      <c r="G45" s="50" t="s">
        <v>84</v>
      </c>
      <c r="H45" s="53">
        <v>0.71399999999999997</v>
      </c>
    </row>
    <row r="46" spans="1:8" ht="18" customHeight="1" x14ac:dyDescent="0.25">
      <c r="A46" s="49">
        <v>46145</v>
      </c>
      <c r="B46" s="50" t="s">
        <v>18</v>
      </c>
      <c r="C46" s="51" t="s">
        <v>64</v>
      </c>
      <c r="D46" s="50" t="s">
        <v>52</v>
      </c>
      <c r="E46" s="52">
        <v>3</v>
      </c>
      <c r="F46" s="52">
        <v>200</v>
      </c>
      <c r="G46" s="50" t="s">
        <v>65</v>
      </c>
      <c r="H46" s="53">
        <v>0.71399999999999997</v>
      </c>
    </row>
    <row r="47" spans="1:8" ht="18" customHeight="1" x14ac:dyDescent="0.25">
      <c r="A47" s="49">
        <v>46145</v>
      </c>
      <c r="B47" s="50" t="s">
        <v>18</v>
      </c>
      <c r="C47" s="51" t="s">
        <v>59</v>
      </c>
      <c r="D47" s="50" t="s">
        <v>60</v>
      </c>
      <c r="E47" s="52">
        <v>14</v>
      </c>
      <c r="F47" s="52">
        <v>471</v>
      </c>
      <c r="G47" s="50" t="s">
        <v>85</v>
      </c>
      <c r="H47" s="53">
        <v>0.71399999999999997</v>
      </c>
    </row>
    <row r="48" spans="1:8" ht="18" customHeight="1" x14ac:dyDescent="0.25">
      <c r="A48" s="49">
        <v>46145</v>
      </c>
      <c r="B48" s="50" t="s">
        <v>18</v>
      </c>
      <c r="C48" s="51" t="s">
        <v>50</v>
      </c>
      <c r="D48" s="50" t="s">
        <v>60</v>
      </c>
      <c r="E48" s="52">
        <v>20</v>
      </c>
      <c r="F48" s="52">
        <v>1332</v>
      </c>
      <c r="G48" s="50" t="s">
        <v>79</v>
      </c>
      <c r="H48" s="53">
        <v>0.71399999999999997</v>
      </c>
    </row>
    <row r="49" spans="1:8" ht="18" customHeight="1" x14ac:dyDescent="0.25">
      <c r="A49" s="49">
        <v>46145</v>
      </c>
      <c r="B49" s="50" t="s">
        <v>18</v>
      </c>
      <c r="C49" s="51" t="s">
        <v>57</v>
      </c>
      <c r="D49" s="50" t="s">
        <v>60</v>
      </c>
      <c r="E49" s="52">
        <v>12</v>
      </c>
      <c r="F49" s="52">
        <v>976</v>
      </c>
      <c r="G49" s="50" t="s">
        <v>81</v>
      </c>
      <c r="H49" s="53">
        <v>0.71399999999999997</v>
      </c>
    </row>
    <row r="50" spans="1:8" ht="18" customHeight="1" x14ac:dyDescent="0.25">
      <c r="A50" s="20">
        <v>46152</v>
      </c>
      <c r="B50" s="21" t="s">
        <v>14</v>
      </c>
      <c r="C50" s="22" t="s">
        <v>47</v>
      </c>
      <c r="D50" s="21" t="s">
        <v>48</v>
      </c>
      <c r="E50" s="23">
        <v>7</v>
      </c>
      <c r="F50" s="23">
        <v>2598</v>
      </c>
      <c r="G50" s="21" t="s">
        <v>86</v>
      </c>
      <c r="H50" s="24">
        <v>0.625</v>
      </c>
    </row>
    <row r="51" spans="1:8" ht="18" customHeight="1" x14ac:dyDescent="0.25">
      <c r="A51" s="54">
        <v>46152</v>
      </c>
      <c r="B51" s="55" t="s">
        <v>14</v>
      </c>
      <c r="C51" s="56" t="s">
        <v>50</v>
      </c>
      <c r="D51" s="55" t="s">
        <v>52</v>
      </c>
      <c r="E51" s="57">
        <v>11</v>
      </c>
      <c r="F51" s="57">
        <v>785</v>
      </c>
      <c r="G51" s="55" t="s">
        <v>87</v>
      </c>
      <c r="H51" s="58">
        <v>0.625</v>
      </c>
    </row>
    <row r="52" spans="1:8" ht="18" customHeight="1" x14ac:dyDescent="0.25">
      <c r="A52" s="54">
        <v>46152</v>
      </c>
      <c r="B52" s="55" t="s">
        <v>14</v>
      </c>
      <c r="C52" s="56" t="s">
        <v>57</v>
      </c>
      <c r="D52" s="55" t="s">
        <v>52</v>
      </c>
      <c r="E52" s="57">
        <v>11</v>
      </c>
      <c r="F52" s="57">
        <v>1014</v>
      </c>
      <c r="G52" s="55" t="s">
        <v>84</v>
      </c>
      <c r="H52" s="58">
        <v>0.625</v>
      </c>
    </row>
    <row r="53" spans="1:8" ht="18" customHeight="1" x14ac:dyDescent="0.25">
      <c r="A53" s="54">
        <v>46152</v>
      </c>
      <c r="B53" s="55" t="s">
        <v>14</v>
      </c>
      <c r="C53" s="56" t="s">
        <v>64</v>
      </c>
      <c r="D53" s="55" t="s">
        <v>52</v>
      </c>
      <c r="E53" s="57">
        <v>4</v>
      </c>
      <c r="F53" s="57">
        <v>222</v>
      </c>
      <c r="G53" s="55" t="s">
        <v>65</v>
      </c>
      <c r="H53" s="58">
        <v>0.625</v>
      </c>
    </row>
    <row r="54" spans="1:8" ht="18" customHeight="1" x14ac:dyDescent="0.25">
      <c r="A54" s="59">
        <v>46152</v>
      </c>
      <c r="B54" s="60" t="s">
        <v>14</v>
      </c>
      <c r="C54" s="61" t="s">
        <v>57</v>
      </c>
      <c r="D54" s="60" t="s">
        <v>54</v>
      </c>
      <c r="E54" s="62">
        <v>12</v>
      </c>
      <c r="F54" s="62">
        <v>992</v>
      </c>
      <c r="G54" s="60" t="s">
        <v>65</v>
      </c>
      <c r="H54" s="63">
        <v>0.625</v>
      </c>
    </row>
    <row r="55" spans="1:8" ht="18" customHeight="1" x14ac:dyDescent="0.25">
      <c r="A55" s="49">
        <v>46152</v>
      </c>
      <c r="B55" s="50" t="s">
        <v>14</v>
      </c>
      <c r="C55" s="51" t="s">
        <v>59</v>
      </c>
      <c r="D55" s="50" t="s">
        <v>60</v>
      </c>
      <c r="E55" s="52">
        <v>12</v>
      </c>
      <c r="F55" s="52">
        <v>578</v>
      </c>
      <c r="G55" s="50" t="s">
        <v>88</v>
      </c>
      <c r="H55" s="53">
        <v>0.625</v>
      </c>
    </row>
    <row r="56" spans="1:8" ht="18" customHeight="1" x14ac:dyDescent="0.25">
      <c r="A56" s="49">
        <v>46152</v>
      </c>
      <c r="B56" s="50" t="s">
        <v>14</v>
      </c>
      <c r="C56" s="51" t="s">
        <v>47</v>
      </c>
      <c r="D56" s="50" t="s">
        <v>60</v>
      </c>
      <c r="E56" s="52">
        <v>6</v>
      </c>
      <c r="F56" s="52">
        <v>2675</v>
      </c>
      <c r="G56" s="50" t="s">
        <v>89</v>
      </c>
      <c r="H56" s="53">
        <v>0.625</v>
      </c>
    </row>
    <row r="57" spans="1:8" ht="18" customHeight="1" x14ac:dyDescent="0.25">
      <c r="A57" s="49">
        <v>46152</v>
      </c>
      <c r="B57" s="50" t="s">
        <v>14</v>
      </c>
      <c r="C57" s="51" t="s">
        <v>50</v>
      </c>
      <c r="D57" s="50" t="s">
        <v>60</v>
      </c>
      <c r="E57" s="52">
        <v>25</v>
      </c>
      <c r="F57" s="52">
        <v>1360</v>
      </c>
      <c r="G57" s="50" t="s">
        <v>90</v>
      </c>
      <c r="H57" s="53">
        <v>0.625</v>
      </c>
    </row>
    <row r="58" spans="1:8" ht="18" customHeight="1" x14ac:dyDescent="0.25">
      <c r="A58" s="49">
        <v>46152</v>
      </c>
      <c r="B58" s="50" t="s">
        <v>14</v>
      </c>
      <c r="C58" s="51" t="s">
        <v>57</v>
      </c>
      <c r="D58" s="50" t="s">
        <v>60</v>
      </c>
      <c r="E58" s="52">
        <v>10</v>
      </c>
      <c r="F58" s="52">
        <v>954</v>
      </c>
      <c r="G58" s="50" t="s">
        <v>81</v>
      </c>
      <c r="H58" s="53">
        <v>0.625</v>
      </c>
    </row>
    <row r="59" spans="1:8" ht="18" customHeight="1" x14ac:dyDescent="0.25">
      <c r="A59" s="20">
        <v>46158</v>
      </c>
      <c r="B59" s="21" t="s">
        <v>19</v>
      </c>
      <c r="C59" s="22" t="s">
        <v>78</v>
      </c>
      <c r="D59" s="21" t="s">
        <v>48</v>
      </c>
      <c r="E59" s="23">
        <v>6</v>
      </c>
      <c r="F59" s="23">
        <v>954</v>
      </c>
      <c r="G59" s="21" t="s">
        <v>65</v>
      </c>
      <c r="H59" s="24">
        <v>0.85699999999999998</v>
      </c>
    </row>
    <row r="60" spans="1:8" ht="18" customHeight="1" x14ac:dyDescent="0.25">
      <c r="A60" s="54">
        <v>46158</v>
      </c>
      <c r="B60" s="55" t="s">
        <v>19</v>
      </c>
      <c r="C60" s="56" t="s">
        <v>57</v>
      </c>
      <c r="D60" s="55" t="s">
        <v>52</v>
      </c>
      <c r="E60" s="57">
        <v>11</v>
      </c>
      <c r="F60" s="57">
        <v>940</v>
      </c>
      <c r="G60" s="55" t="s">
        <v>91</v>
      </c>
      <c r="H60" s="58">
        <v>0.85699999999999998</v>
      </c>
    </row>
    <row r="61" spans="1:8" ht="18" customHeight="1" x14ac:dyDescent="0.25">
      <c r="A61" s="49">
        <v>46158</v>
      </c>
      <c r="B61" s="50" t="s">
        <v>19</v>
      </c>
      <c r="C61" s="51" t="s">
        <v>47</v>
      </c>
      <c r="D61" s="50" t="s">
        <v>60</v>
      </c>
      <c r="E61" s="52">
        <v>10</v>
      </c>
      <c r="F61" s="52">
        <v>2665</v>
      </c>
      <c r="G61" s="50" t="s">
        <v>92</v>
      </c>
      <c r="H61" s="53">
        <v>0.85699999999999998</v>
      </c>
    </row>
    <row r="62" spans="1:8" ht="18" customHeight="1" x14ac:dyDescent="0.25">
      <c r="A62" s="49">
        <v>46158</v>
      </c>
      <c r="B62" s="50" t="s">
        <v>19</v>
      </c>
      <c r="C62" s="51" t="s">
        <v>50</v>
      </c>
      <c r="D62" s="50" t="s">
        <v>60</v>
      </c>
      <c r="E62" s="52">
        <v>25</v>
      </c>
      <c r="F62" s="52">
        <v>1451</v>
      </c>
      <c r="G62" s="50" t="s">
        <v>93</v>
      </c>
      <c r="H62" s="53">
        <v>0.85699999999999998</v>
      </c>
    </row>
    <row r="63" spans="1:8" ht="18" customHeight="1" x14ac:dyDescent="0.25">
      <c r="A63" s="49">
        <v>46158</v>
      </c>
      <c r="B63" s="50" t="s">
        <v>19</v>
      </c>
      <c r="C63" s="51" t="s">
        <v>59</v>
      </c>
      <c r="D63" s="50" t="s">
        <v>60</v>
      </c>
      <c r="E63" s="52">
        <v>13</v>
      </c>
      <c r="F63" s="52">
        <v>609</v>
      </c>
      <c r="G63" s="50" t="s">
        <v>94</v>
      </c>
      <c r="H63" s="53">
        <v>0.85699999999999998</v>
      </c>
    </row>
    <row r="64" spans="1:8" ht="18" customHeight="1" x14ac:dyDescent="0.25">
      <c r="A64" s="49">
        <v>46158</v>
      </c>
      <c r="B64" s="50" t="s">
        <v>19</v>
      </c>
      <c r="C64" s="51" t="s">
        <v>57</v>
      </c>
      <c r="D64" s="50" t="s">
        <v>60</v>
      </c>
      <c r="E64" s="52">
        <v>11</v>
      </c>
      <c r="F64" s="52">
        <v>950</v>
      </c>
      <c r="G64" s="50" t="s">
        <v>95</v>
      </c>
      <c r="H64" s="53">
        <v>0.85699999999999998</v>
      </c>
    </row>
    <row r="65" spans="1:8" ht="18" customHeight="1" x14ac:dyDescent="0.25">
      <c r="A65" s="49">
        <v>46158</v>
      </c>
      <c r="B65" s="50" t="s">
        <v>19</v>
      </c>
      <c r="C65" s="51" t="s">
        <v>50</v>
      </c>
      <c r="D65" s="50" t="s">
        <v>60</v>
      </c>
      <c r="E65" s="52">
        <v>3</v>
      </c>
      <c r="F65" s="52">
        <v>263</v>
      </c>
      <c r="G65" s="50" t="s">
        <v>96</v>
      </c>
      <c r="H65" s="53">
        <v>0.85699999999999998</v>
      </c>
    </row>
    <row r="66" spans="1:8" ht="18" customHeight="1" x14ac:dyDescent="0.25">
      <c r="A66" s="20">
        <v>46159</v>
      </c>
      <c r="B66" s="21" t="s">
        <v>20</v>
      </c>
      <c r="C66" s="22" t="s">
        <v>47</v>
      </c>
      <c r="D66" s="21" t="s">
        <v>48</v>
      </c>
      <c r="E66" s="23">
        <v>6</v>
      </c>
      <c r="F66" s="23">
        <v>1962</v>
      </c>
      <c r="G66" s="21" t="s">
        <v>97</v>
      </c>
      <c r="H66" s="24">
        <v>0.625</v>
      </c>
    </row>
    <row r="67" spans="1:8" ht="18" customHeight="1" x14ac:dyDescent="0.25">
      <c r="A67" s="54">
        <v>46159</v>
      </c>
      <c r="B67" s="55" t="s">
        <v>20</v>
      </c>
      <c r="C67" s="56" t="s">
        <v>50</v>
      </c>
      <c r="D67" s="55" t="s">
        <v>52</v>
      </c>
      <c r="E67" s="57">
        <v>18</v>
      </c>
      <c r="F67" s="57">
        <v>1324</v>
      </c>
      <c r="G67" s="55" t="s">
        <v>98</v>
      </c>
      <c r="H67" s="58">
        <v>0.625</v>
      </c>
    </row>
    <row r="68" spans="1:8" ht="18" customHeight="1" x14ac:dyDescent="0.25">
      <c r="A68" s="54">
        <v>46159</v>
      </c>
      <c r="B68" s="55" t="s">
        <v>20</v>
      </c>
      <c r="C68" s="56" t="s">
        <v>64</v>
      </c>
      <c r="D68" s="55" t="s">
        <v>52</v>
      </c>
      <c r="E68" s="57">
        <v>3</v>
      </c>
      <c r="F68" s="57">
        <v>204</v>
      </c>
      <c r="G68" s="55" t="s">
        <v>65</v>
      </c>
      <c r="H68" s="58">
        <v>0.625</v>
      </c>
    </row>
    <row r="69" spans="1:8" ht="18" customHeight="1" x14ac:dyDescent="0.25">
      <c r="A69" s="59">
        <v>46159</v>
      </c>
      <c r="B69" s="60" t="s">
        <v>20</v>
      </c>
      <c r="C69" s="61" t="s">
        <v>57</v>
      </c>
      <c r="D69" s="60" t="s">
        <v>54</v>
      </c>
      <c r="E69" s="62">
        <v>10</v>
      </c>
      <c r="F69" s="62">
        <v>931</v>
      </c>
      <c r="G69" s="60" t="s">
        <v>99</v>
      </c>
      <c r="H69" s="63">
        <v>0.625</v>
      </c>
    </row>
    <row r="70" spans="1:8" ht="18" customHeight="1" x14ac:dyDescent="0.25">
      <c r="A70" s="49">
        <v>46159</v>
      </c>
      <c r="B70" s="50" t="s">
        <v>20</v>
      </c>
      <c r="C70" s="51" t="s">
        <v>59</v>
      </c>
      <c r="D70" s="50" t="s">
        <v>60</v>
      </c>
      <c r="E70" s="52">
        <v>12</v>
      </c>
      <c r="F70" s="52">
        <v>598</v>
      </c>
      <c r="G70" s="50" t="s">
        <v>100</v>
      </c>
      <c r="H70" s="53">
        <v>0.625</v>
      </c>
    </row>
    <row r="71" spans="1:8" ht="18" customHeight="1" x14ac:dyDescent="0.25">
      <c r="A71" s="49">
        <v>46159</v>
      </c>
      <c r="B71" s="50" t="s">
        <v>20</v>
      </c>
      <c r="C71" s="51" t="s">
        <v>57</v>
      </c>
      <c r="D71" s="50" t="s">
        <v>60</v>
      </c>
      <c r="E71" s="52">
        <v>11</v>
      </c>
      <c r="F71" s="52">
        <v>940</v>
      </c>
      <c r="G71" s="50" t="s">
        <v>91</v>
      </c>
      <c r="H71" s="53">
        <v>0.625</v>
      </c>
    </row>
    <row r="72" spans="1:8" ht="18" customHeight="1" x14ac:dyDescent="0.25">
      <c r="A72" s="49">
        <v>46159</v>
      </c>
      <c r="B72" s="50" t="s">
        <v>20</v>
      </c>
      <c r="C72" s="51" t="s">
        <v>47</v>
      </c>
      <c r="D72" s="50" t="s">
        <v>60</v>
      </c>
      <c r="E72" s="52">
        <v>10</v>
      </c>
      <c r="F72" s="52">
        <v>2665</v>
      </c>
      <c r="G72" s="50" t="s">
        <v>92</v>
      </c>
      <c r="H72" s="53">
        <v>0.625</v>
      </c>
    </row>
    <row r="73" spans="1:8" ht="18" customHeight="1" x14ac:dyDescent="0.25">
      <c r="A73" s="49">
        <v>46159</v>
      </c>
      <c r="B73" s="50" t="s">
        <v>20</v>
      </c>
      <c r="C73" s="51" t="s">
        <v>50</v>
      </c>
      <c r="D73" s="50" t="s">
        <v>60</v>
      </c>
      <c r="E73" s="52">
        <v>25</v>
      </c>
      <c r="F73" s="52">
        <v>1451</v>
      </c>
      <c r="G73" s="50" t="s">
        <v>93</v>
      </c>
      <c r="H73" s="53">
        <v>0.625</v>
      </c>
    </row>
    <row r="74" spans="1:8" ht="18" customHeight="1" x14ac:dyDescent="0.25">
      <c r="A74" s="20">
        <v>46164</v>
      </c>
      <c r="B74" s="21" t="s">
        <v>23</v>
      </c>
      <c r="C74" s="22" t="s">
        <v>64</v>
      </c>
      <c r="D74" s="21" t="s">
        <v>48</v>
      </c>
      <c r="E74" s="23" t="s">
        <v>65</v>
      </c>
      <c r="F74" s="23">
        <v>690</v>
      </c>
      <c r="G74" s="21" t="s">
        <v>65</v>
      </c>
      <c r="H74" s="24">
        <v>0.90900000000000003</v>
      </c>
    </row>
    <row r="75" spans="1:8" ht="18" customHeight="1" x14ac:dyDescent="0.25">
      <c r="A75" s="20">
        <v>46164</v>
      </c>
      <c r="B75" s="21" t="s">
        <v>23</v>
      </c>
      <c r="C75" s="22" t="s">
        <v>70</v>
      </c>
      <c r="D75" s="21" t="s">
        <v>48</v>
      </c>
      <c r="E75" s="23">
        <v>3</v>
      </c>
      <c r="F75" s="23" t="s">
        <v>65</v>
      </c>
      <c r="G75" s="21" t="s">
        <v>65</v>
      </c>
      <c r="H75" s="24">
        <v>0.90900000000000003</v>
      </c>
    </row>
    <row r="76" spans="1:8" ht="18" customHeight="1" x14ac:dyDescent="0.25">
      <c r="A76" s="20">
        <v>46164</v>
      </c>
      <c r="B76" s="21" t="s">
        <v>23</v>
      </c>
      <c r="C76" s="22" t="s">
        <v>78</v>
      </c>
      <c r="D76" s="21" t="s">
        <v>48</v>
      </c>
      <c r="E76" s="23" t="s">
        <v>65</v>
      </c>
      <c r="F76" s="23">
        <v>267</v>
      </c>
      <c r="G76" s="21" t="s">
        <v>65</v>
      </c>
      <c r="H76" s="24">
        <v>0.90900000000000003</v>
      </c>
    </row>
    <row r="77" spans="1:8" ht="18" customHeight="1" x14ac:dyDescent="0.25">
      <c r="A77" s="20">
        <v>46164</v>
      </c>
      <c r="B77" s="21" t="s">
        <v>23</v>
      </c>
      <c r="C77" s="22" t="s">
        <v>47</v>
      </c>
      <c r="D77" s="21" t="s">
        <v>48</v>
      </c>
      <c r="E77" s="23">
        <v>9</v>
      </c>
      <c r="F77" s="23">
        <v>2450</v>
      </c>
      <c r="G77" s="21" t="s">
        <v>101</v>
      </c>
      <c r="H77" s="24">
        <v>0.90900000000000003</v>
      </c>
    </row>
    <row r="78" spans="1:8" ht="18" customHeight="1" x14ac:dyDescent="0.25">
      <c r="A78" s="20">
        <v>46164</v>
      </c>
      <c r="B78" s="21" t="s">
        <v>23</v>
      </c>
      <c r="C78" s="22" t="s">
        <v>50</v>
      </c>
      <c r="D78" s="21" t="s">
        <v>48</v>
      </c>
      <c r="E78" s="23">
        <v>10</v>
      </c>
      <c r="F78" s="23">
        <v>652</v>
      </c>
      <c r="G78" s="21" t="s">
        <v>102</v>
      </c>
      <c r="H78" s="24">
        <v>0.90900000000000003</v>
      </c>
    </row>
    <row r="79" spans="1:8" ht="18" customHeight="1" x14ac:dyDescent="0.25">
      <c r="A79" s="59">
        <v>46164</v>
      </c>
      <c r="B79" s="60" t="s">
        <v>23</v>
      </c>
      <c r="C79" s="61" t="s">
        <v>57</v>
      </c>
      <c r="D79" s="60" t="s">
        <v>54</v>
      </c>
      <c r="E79" s="62">
        <v>12</v>
      </c>
      <c r="F79" s="62">
        <v>993</v>
      </c>
      <c r="G79" s="60" t="s">
        <v>103</v>
      </c>
      <c r="H79" s="63">
        <v>0.90900000000000003</v>
      </c>
    </row>
    <row r="80" spans="1:8" ht="18" customHeight="1" x14ac:dyDescent="0.25">
      <c r="A80" s="49">
        <v>46164</v>
      </c>
      <c r="B80" s="50" t="s">
        <v>23</v>
      </c>
      <c r="C80" s="51" t="s">
        <v>50</v>
      </c>
      <c r="D80" s="50" t="s">
        <v>60</v>
      </c>
      <c r="E80" s="52">
        <v>12</v>
      </c>
      <c r="F80" s="52">
        <v>647</v>
      </c>
      <c r="G80" s="50" t="s">
        <v>104</v>
      </c>
      <c r="H80" s="53">
        <v>0.90900000000000003</v>
      </c>
    </row>
    <row r="81" spans="1:8" ht="18" customHeight="1" x14ac:dyDescent="0.25">
      <c r="A81" s="49">
        <v>46164</v>
      </c>
      <c r="B81" s="50" t="s">
        <v>23</v>
      </c>
      <c r="C81" s="51" t="s">
        <v>59</v>
      </c>
      <c r="D81" s="50" t="s">
        <v>60</v>
      </c>
      <c r="E81" s="52">
        <v>13</v>
      </c>
      <c r="F81" s="52">
        <v>564</v>
      </c>
      <c r="G81" s="50" t="s">
        <v>105</v>
      </c>
      <c r="H81" s="53">
        <v>0.90900000000000003</v>
      </c>
    </row>
    <row r="82" spans="1:8" ht="18" customHeight="1" x14ac:dyDescent="0.25">
      <c r="A82" s="49">
        <v>46164</v>
      </c>
      <c r="B82" s="50" t="s">
        <v>23</v>
      </c>
      <c r="C82" s="51" t="s">
        <v>57</v>
      </c>
      <c r="D82" s="50" t="s">
        <v>60</v>
      </c>
      <c r="E82" s="52">
        <v>11</v>
      </c>
      <c r="F82" s="52">
        <v>974</v>
      </c>
      <c r="G82" s="50" t="s">
        <v>106</v>
      </c>
      <c r="H82" s="53">
        <v>0.90900000000000003</v>
      </c>
    </row>
    <row r="83" spans="1:8" ht="18" customHeight="1" x14ac:dyDescent="0.25">
      <c r="A83" s="49">
        <v>46164</v>
      </c>
      <c r="B83" s="50" t="s">
        <v>23</v>
      </c>
      <c r="C83" s="51" t="s">
        <v>50</v>
      </c>
      <c r="D83" s="50" t="s">
        <v>60</v>
      </c>
      <c r="E83" s="52">
        <v>17</v>
      </c>
      <c r="F83" s="52">
        <v>1071</v>
      </c>
      <c r="G83" s="50" t="s">
        <v>107</v>
      </c>
      <c r="H83" s="53">
        <v>0.90900000000000003</v>
      </c>
    </row>
    <row r="84" spans="1:8" ht="18" customHeight="1" x14ac:dyDescent="0.25">
      <c r="A84" s="20">
        <v>46171</v>
      </c>
      <c r="B84" s="21" t="s">
        <v>24</v>
      </c>
      <c r="C84" s="22" t="s">
        <v>64</v>
      </c>
      <c r="D84" s="23" t="s">
        <v>48</v>
      </c>
      <c r="E84" s="23" t="s">
        <v>65</v>
      </c>
      <c r="F84" s="23">
        <v>510</v>
      </c>
      <c r="G84" s="21" t="s">
        <v>65</v>
      </c>
      <c r="H84" s="24">
        <v>0.72699999999999998</v>
      </c>
    </row>
    <row r="85" spans="1:8" ht="18" customHeight="1" x14ac:dyDescent="0.25">
      <c r="A85" s="20">
        <v>46171</v>
      </c>
      <c r="B85" s="21" t="s">
        <v>24</v>
      </c>
      <c r="C85" s="22" t="s">
        <v>78</v>
      </c>
      <c r="D85" s="21" t="s">
        <v>48</v>
      </c>
      <c r="E85" s="23" t="s">
        <v>65</v>
      </c>
      <c r="F85" s="23">
        <v>240</v>
      </c>
      <c r="G85" s="21" t="s">
        <v>65</v>
      </c>
      <c r="H85" s="24">
        <v>0.72699999999999998</v>
      </c>
    </row>
    <row r="86" spans="1:8" ht="18" customHeight="1" x14ac:dyDescent="0.25">
      <c r="A86" s="20">
        <v>46171</v>
      </c>
      <c r="B86" s="21" t="s">
        <v>24</v>
      </c>
      <c r="C86" s="22" t="s">
        <v>70</v>
      </c>
      <c r="D86" s="21" t="s">
        <v>48</v>
      </c>
      <c r="E86" s="23">
        <v>4</v>
      </c>
      <c r="F86" s="23" t="s">
        <v>65</v>
      </c>
      <c r="G86" s="21" t="s">
        <v>65</v>
      </c>
      <c r="H86" s="24">
        <v>0.72699999999999998</v>
      </c>
    </row>
    <row r="87" spans="1:8" ht="18" customHeight="1" x14ac:dyDescent="0.25">
      <c r="A87" s="54">
        <v>46171</v>
      </c>
      <c r="B87" s="55" t="s">
        <v>24</v>
      </c>
      <c r="C87" s="56" t="s">
        <v>47</v>
      </c>
      <c r="D87" s="55" t="s">
        <v>52</v>
      </c>
      <c r="E87" s="57">
        <v>7</v>
      </c>
      <c r="F87" s="57">
        <v>2430</v>
      </c>
      <c r="G87" s="55" t="s">
        <v>108</v>
      </c>
      <c r="H87" s="58">
        <v>0.72699999999999998</v>
      </c>
    </row>
    <row r="88" spans="1:8" ht="18" customHeight="1" x14ac:dyDescent="0.25">
      <c r="A88" s="54">
        <v>46171</v>
      </c>
      <c r="B88" s="55" t="s">
        <v>24</v>
      </c>
      <c r="C88" s="56" t="s">
        <v>50</v>
      </c>
      <c r="D88" s="55" t="s">
        <v>52</v>
      </c>
      <c r="E88" s="57">
        <v>21</v>
      </c>
      <c r="F88" s="57">
        <v>1507</v>
      </c>
      <c r="G88" s="55" t="s">
        <v>109</v>
      </c>
      <c r="H88" s="58">
        <v>0.72699999999999998</v>
      </c>
    </row>
    <row r="89" spans="1:8" ht="18" customHeight="1" x14ac:dyDescent="0.25">
      <c r="A89" s="59">
        <v>46171</v>
      </c>
      <c r="B89" s="60" t="s">
        <v>24</v>
      </c>
      <c r="C89" s="61" t="s">
        <v>57</v>
      </c>
      <c r="D89" s="60" t="s">
        <v>54</v>
      </c>
      <c r="E89" s="62">
        <v>10</v>
      </c>
      <c r="F89" s="62">
        <v>910</v>
      </c>
      <c r="G89" s="60" t="s">
        <v>56</v>
      </c>
      <c r="H89" s="63">
        <v>0.72699999999999998</v>
      </c>
    </row>
    <row r="90" spans="1:8" ht="18" customHeight="1" x14ac:dyDescent="0.25">
      <c r="A90" s="49">
        <v>46171</v>
      </c>
      <c r="B90" s="50" t="s">
        <v>24</v>
      </c>
      <c r="C90" s="51" t="s">
        <v>59</v>
      </c>
      <c r="D90" s="50" t="s">
        <v>60</v>
      </c>
      <c r="E90" s="52">
        <v>12</v>
      </c>
      <c r="F90" s="52">
        <v>555</v>
      </c>
      <c r="G90" s="50" t="s">
        <v>110</v>
      </c>
      <c r="H90" s="53">
        <v>0.72699999999999998</v>
      </c>
    </row>
    <row r="91" spans="1:8" ht="18" customHeight="1" x14ac:dyDescent="0.25">
      <c r="A91" s="49">
        <v>46171</v>
      </c>
      <c r="B91" s="50" t="s">
        <v>24</v>
      </c>
      <c r="C91" s="51" t="s">
        <v>47</v>
      </c>
      <c r="D91" s="50" t="s">
        <v>60</v>
      </c>
      <c r="E91" s="52">
        <v>10</v>
      </c>
      <c r="F91" s="52">
        <v>1637</v>
      </c>
      <c r="G91" s="50" t="s">
        <v>111</v>
      </c>
      <c r="H91" s="53">
        <v>0.72699999999999998</v>
      </c>
    </row>
    <row r="92" spans="1:8" ht="18" customHeight="1" x14ac:dyDescent="0.25">
      <c r="A92" s="49">
        <v>46171</v>
      </c>
      <c r="B92" s="50" t="s">
        <v>24</v>
      </c>
      <c r="C92" s="51" t="s">
        <v>50</v>
      </c>
      <c r="D92" s="50" t="s">
        <v>60</v>
      </c>
      <c r="E92" s="52">
        <v>22</v>
      </c>
      <c r="F92" s="52">
        <v>1152</v>
      </c>
      <c r="G92" s="50" t="s">
        <v>112</v>
      </c>
      <c r="H92" s="53">
        <v>0.72699999999999998</v>
      </c>
    </row>
    <row r="93" spans="1:8" ht="18" customHeight="1" x14ac:dyDescent="0.25">
      <c r="A93" s="67">
        <v>46171</v>
      </c>
      <c r="B93" s="68" t="s">
        <v>24</v>
      </c>
      <c r="C93" s="69" t="s">
        <v>57</v>
      </c>
      <c r="D93" s="68" t="s">
        <v>60</v>
      </c>
      <c r="E93" s="70">
        <v>12</v>
      </c>
      <c r="F93" s="70">
        <v>1021</v>
      </c>
      <c r="G93" s="68" t="s">
        <v>113</v>
      </c>
      <c r="H93" s="71">
        <v>0.72699999999999998</v>
      </c>
    </row>
    <row r="94" spans="1:8" ht="18" customHeight="1" x14ac:dyDescent="0.25">
      <c r="A94" s="39"/>
      <c r="B94" s="40"/>
      <c r="C94" s="41"/>
      <c r="D94" s="40"/>
      <c r="E94" s="42"/>
      <c r="F94" s="42"/>
      <c r="G94" s="40"/>
      <c r="H94" s="43"/>
    </row>
    <row r="95" spans="1:8" x14ac:dyDescent="0.25">
      <c r="A95" s="18" t="s">
        <v>114</v>
      </c>
      <c r="E95" s="18" t="s">
        <v>117</v>
      </c>
    </row>
    <row r="96" spans="1:8" x14ac:dyDescent="0.25">
      <c r="A96" s="19" t="s">
        <v>25</v>
      </c>
      <c r="B96" s="19" t="s">
        <v>115</v>
      </c>
      <c r="C96" s="19" t="s">
        <v>116</v>
      </c>
      <c r="E96" s="19" t="s">
        <v>2</v>
      </c>
      <c r="F96" s="19" t="s">
        <v>118</v>
      </c>
    </row>
    <row r="97" spans="1:6" x14ac:dyDescent="0.25">
      <c r="A97" s="16" t="s">
        <v>47</v>
      </c>
      <c r="B97" s="17">
        <v>42512</v>
      </c>
      <c r="C97" s="17">
        <v>120</v>
      </c>
      <c r="E97" s="1">
        <v>46137</v>
      </c>
      <c r="F97" s="29">
        <v>0.5</v>
      </c>
    </row>
    <row r="98" spans="1:6" x14ac:dyDescent="0.25">
      <c r="A98" s="14" t="s">
        <v>50</v>
      </c>
      <c r="B98" s="15">
        <v>28343</v>
      </c>
      <c r="C98" s="15">
        <v>433</v>
      </c>
      <c r="E98" s="5">
        <v>46138</v>
      </c>
      <c r="F98" s="30">
        <v>0.55600000000000005</v>
      </c>
    </row>
    <row r="99" spans="1:6" x14ac:dyDescent="0.25">
      <c r="A99" s="16" t="s">
        <v>57</v>
      </c>
      <c r="B99" s="17">
        <v>22436</v>
      </c>
      <c r="C99" s="17">
        <v>253</v>
      </c>
      <c r="E99" s="1">
        <v>46143</v>
      </c>
      <c r="F99" s="29">
        <v>0.77800000000000002</v>
      </c>
    </row>
    <row r="100" spans="1:6" x14ac:dyDescent="0.25">
      <c r="A100" s="14" t="s">
        <v>59</v>
      </c>
      <c r="B100" s="15">
        <v>6462</v>
      </c>
      <c r="C100" s="15">
        <v>152</v>
      </c>
      <c r="E100" s="5">
        <v>46144</v>
      </c>
      <c r="F100" s="30">
        <v>1</v>
      </c>
    </row>
    <row r="101" spans="1:6" x14ac:dyDescent="0.25">
      <c r="A101" s="16" t="s">
        <v>78</v>
      </c>
      <c r="B101" s="17">
        <v>2971</v>
      </c>
      <c r="C101" s="17">
        <v>16</v>
      </c>
      <c r="E101" s="1">
        <v>46145</v>
      </c>
      <c r="F101" s="29">
        <v>0.71399999999999997</v>
      </c>
    </row>
    <row r="102" spans="1:6" x14ac:dyDescent="0.25">
      <c r="A102" s="14" t="s">
        <v>64</v>
      </c>
      <c r="B102" s="15">
        <v>2616</v>
      </c>
      <c r="C102" s="15">
        <v>13</v>
      </c>
      <c r="E102" s="5">
        <v>46152</v>
      </c>
      <c r="F102" s="30">
        <v>0.625</v>
      </c>
    </row>
    <row r="103" spans="1:6" x14ac:dyDescent="0.25">
      <c r="E103" s="1">
        <v>46158</v>
      </c>
      <c r="F103" s="29">
        <v>0.85699999999999998</v>
      </c>
    </row>
    <row r="104" spans="1:6" x14ac:dyDescent="0.25">
      <c r="A104" s="18"/>
      <c r="E104" s="5">
        <v>46159</v>
      </c>
      <c r="F104" s="30">
        <v>0.83299999999999996</v>
      </c>
    </row>
    <row r="105" spans="1:6" x14ac:dyDescent="0.25">
      <c r="A105" s="44"/>
      <c r="B105" s="44"/>
      <c r="E105" s="1">
        <v>46164</v>
      </c>
      <c r="F105" s="29">
        <v>0.90900000000000003</v>
      </c>
    </row>
    <row r="106" spans="1:6" x14ac:dyDescent="0.25">
      <c r="A106" s="39"/>
      <c r="B106" s="43"/>
      <c r="E106" s="5">
        <v>46171</v>
      </c>
      <c r="F106" s="30">
        <v>0.72699999999999998</v>
      </c>
    </row>
    <row r="107" spans="1:6" x14ac:dyDescent="0.25">
      <c r="A107" s="39"/>
      <c r="B107" s="43"/>
    </row>
    <row r="108" spans="1:6" x14ac:dyDescent="0.25">
      <c r="A108" s="39"/>
      <c r="B108" s="43"/>
    </row>
    <row r="109" spans="1:6" ht="18" customHeight="1" x14ac:dyDescent="0.25">
      <c r="A109" s="39"/>
      <c r="B109" s="43"/>
    </row>
    <row r="110" spans="1:6" ht="18" customHeight="1" x14ac:dyDescent="0.25">
      <c r="A110" s="39"/>
      <c r="B110" s="43"/>
    </row>
    <row r="111" spans="1:6" ht="18" customHeight="1" x14ac:dyDescent="0.25">
      <c r="A111" s="39"/>
      <c r="B111" s="43"/>
    </row>
    <row r="112" spans="1:6" ht="18" customHeight="1" x14ac:dyDescent="0.25">
      <c r="A112" s="39"/>
      <c r="B112" s="43"/>
    </row>
    <row r="113" spans="1:2" ht="18" customHeight="1" x14ac:dyDescent="0.25">
      <c r="A113" s="39"/>
      <c r="B113" s="43"/>
    </row>
    <row r="114" spans="1:2" ht="18" customHeight="1" x14ac:dyDescent="0.25">
      <c r="A114" s="39"/>
      <c r="B114" s="43"/>
    </row>
    <row r="115" spans="1:2" ht="18" customHeight="1" x14ac:dyDescent="0.25">
      <c r="A115" s="39"/>
      <c r="B115" s="43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220"/>
  </sheetPr>
  <dimension ref="A1:F14"/>
  <sheetViews>
    <sheetView zoomScaleNormal="100" workbookViewId="0">
      <selection activeCell="H33" sqref="H33"/>
    </sheetView>
  </sheetViews>
  <sheetFormatPr defaultColWidth="8.7109375" defaultRowHeight="15" x14ac:dyDescent="0.25"/>
  <cols>
    <col min="1" max="1" width="14" customWidth="1"/>
    <col min="2" max="2" width="18" customWidth="1"/>
    <col min="3" max="3" width="16.42578125" customWidth="1"/>
    <col min="4" max="4" width="16.5703125" customWidth="1"/>
    <col min="5" max="5" width="15.85546875" customWidth="1"/>
    <col min="6" max="6" width="14" customWidth="1"/>
  </cols>
  <sheetData>
    <row r="1" spans="1:6" ht="36" customHeight="1" x14ac:dyDescent="0.25">
      <c r="A1" s="91" t="s">
        <v>135</v>
      </c>
      <c r="B1" s="91"/>
      <c r="C1" s="91"/>
      <c r="D1" s="91"/>
      <c r="E1" s="91"/>
      <c r="F1" s="91"/>
    </row>
    <row r="2" spans="1:6" ht="30" customHeight="1" thickBot="1" x14ac:dyDescent="0.3">
      <c r="A2" s="66" t="s">
        <v>2</v>
      </c>
      <c r="B2" s="66" t="s">
        <v>119</v>
      </c>
      <c r="C2" s="66" t="s">
        <v>120</v>
      </c>
      <c r="D2" s="66" t="s">
        <v>121</v>
      </c>
      <c r="E2" s="66" t="s">
        <v>122</v>
      </c>
      <c r="F2" s="66" t="s">
        <v>123</v>
      </c>
    </row>
    <row r="3" spans="1:6" ht="18" customHeight="1" x14ac:dyDescent="0.25">
      <c r="A3" s="5">
        <v>46137</v>
      </c>
      <c r="B3" s="31">
        <v>-1300000</v>
      </c>
      <c r="C3" s="31">
        <v>-1500000</v>
      </c>
      <c r="D3" s="8">
        <v>-7.4999999999999997E-2</v>
      </c>
      <c r="E3" s="8">
        <v>-0.61499999999999999</v>
      </c>
      <c r="F3" s="48">
        <v>200000</v>
      </c>
    </row>
    <row r="4" spans="1:6" ht="18" customHeight="1" x14ac:dyDescent="0.25">
      <c r="A4" s="1">
        <v>46138</v>
      </c>
      <c r="B4" s="32">
        <v>-1300000</v>
      </c>
      <c r="C4" s="32">
        <v>-1500000</v>
      </c>
      <c r="D4" s="4">
        <v>-7.4999999999999997E-2</v>
      </c>
      <c r="E4" s="4">
        <v>-0.61499999999999999</v>
      </c>
      <c r="F4" s="48">
        <v>200000</v>
      </c>
    </row>
    <row r="5" spans="1:6" ht="18" customHeight="1" x14ac:dyDescent="0.25">
      <c r="A5" s="5">
        <v>46143</v>
      </c>
      <c r="B5" s="31">
        <v>-1300000</v>
      </c>
      <c r="C5" s="31">
        <v>-1500000</v>
      </c>
      <c r="D5" s="8">
        <v>-7.4999999999999997E-2</v>
      </c>
      <c r="E5" s="8">
        <v>-0.61499999999999999</v>
      </c>
      <c r="F5" s="48">
        <v>200000</v>
      </c>
    </row>
    <row r="6" spans="1:6" ht="18" customHeight="1" x14ac:dyDescent="0.25">
      <c r="A6" s="1">
        <v>46144</v>
      </c>
      <c r="B6" s="32">
        <v>-1300000</v>
      </c>
      <c r="C6" s="32">
        <v>-1500000</v>
      </c>
      <c r="D6" s="4">
        <v>-7.4999999999999997E-2</v>
      </c>
      <c r="E6" s="4">
        <v>-0.61499999999999999</v>
      </c>
      <c r="F6" s="48">
        <v>200000</v>
      </c>
    </row>
    <row r="7" spans="1:6" ht="18" customHeight="1" x14ac:dyDescent="0.25">
      <c r="A7" s="5">
        <v>46145</v>
      </c>
      <c r="B7" s="31">
        <v>-1300000</v>
      </c>
      <c r="C7" s="31">
        <v>-1500000</v>
      </c>
      <c r="D7" s="8">
        <v>-7.4999999999999997E-2</v>
      </c>
      <c r="E7" s="8">
        <v>-0.61499999999999999</v>
      </c>
      <c r="F7" s="48">
        <v>200000</v>
      </c>
    </row>
    <row r="8" spans="1:6" ht="18" customHeight="1" x14ac:dyDescent="0.25">
      <c r="A8" s="1">
        <v>46152</v>
      </c>
      <c r="B8" s="32">
        <v>-1300000</v>
      </c>
      <c r="C8" s="32">
        <v>-1500000</v>
      </c>
      <c r="D8" s="4">
        <v>-7.4999999999999997E-2</v>
      </c>
      <c r="E8" s="4">
        <v>-0.61499999999999999</v>
      </c>
      <c r="F8" s="48">
        <v>200000</v>
      </c>
    </row>
    <row r="9" spans="1:6" ht="18" customHeight="1" x14ac:dyDescent="0.25">
      <c r="A9" s="5">
        <v>46158</v>
      </c>
      <c r="B9" s="31">
        <v>-1300000</v>
      </c>
      <c r="C9" s="31">
        <v>-1500000</v>
      </c>
      <c r="D9" s="8">
        <v>-0.13100000000000001</v>
      </c>
      <c r="E9" s="8">
        <v>-0.85399999999999998</v>
      </c>
      <c r="F9" s="48">
        <v>200000</v>
      </c>
    </row>
    <row r="10" spans="1:6" ht="18" customHeight="1" x14ac:dyDescent="0.25">
      <c r="A10" s="1">
        <v>46159</v>
      </c>
      <c r="B10" s="32">
        <v>-1300000</v>
      </c>
      <c r="C10" s="32">
        <v>-1500000</v>
      </c>
      <c r="D10" s="4">
        <v>-0.13100000000000001</v>
      </c>
      <c r="E10" s="4">
        <v>-0.85399999999999998</v>
      </c>
      <c r="F10" s="48">
        <v>200000</v>
      </c>
    </row>
    <row r="11" spans="1:6" ht="18" customHeight="1" x14ac:dyDescent="0.25">
      <c r="A11" s="5">
        <v>46164</v>
      </c>
      <c r="B11" s="31">
        <v>-1300000</v>
      </c>
      <c r="C11" s="31">
        <v>-1500000</v>
      </c>
      <c r="D11" s="8">
        <v>-0.13100000000000001</v>
      </c>
      <c r="E11" s="8">
        <v>-0.85399999999999998</v>
      </c>
      <c r="F11" s="48">
        <v>200000</v>
      </c>
    </row>
    <row r="12" spans="1:6" ht="18" customHeight="1" x14ac:dyDescent="0.25">
      <c r="A12" s="83">
        <v>46171</v>
      </c>
      <c r="B12" s="84">
        <v>-1300000</v>
      </c>
      <c r="C12" s="84">
        <v>-1500000</v>
      </c>
      <c r="D12" s="82">
        <v>-0.13100000000000001</v>
      </c>
      <c r="E12" s="82">
        <v>-0.85399999999999998</v>
      </c>
      <c r="F12" s="85">
        <v>200000</v>
      </c>
    </row>
    <row r="14" spans="1:6" x14ac:dyDescent="0.25">
      <c r="A14" s="45"/>
      <c r="B14" s="45"/>
      <c r="C14" s="45"/>
      <c r="D14" s="45"/>
      <c r="E14" s="45"/>
      <c r="F14" s="45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456B"/>
  </sheetPr>
  <dimension ref="A1:J16"/>
  <sheetViews>
    <sheetView topLeftCell="A2" zoomScaleNormal="100" workbookViewId="0">
      <selection activeCell="A2" sqref="A2"/>
    </sheetView>
  </sheetViews>
  <sheetFormatPr defaultColWidth="8.7109375" defaultRowHeight="15" x14ac:dyDescent="0.25"/>
  <cols>
    <col min="1" max="1" width="13" customWidth="1"/>
    <col min="2" max="2" width="11" customWidth="1"/>
    <col min="3" max="3" width="11.85546875" customWidth="1"/>
    <col min="4" max="4" width="11.42578125" customWidth="1"/>
    <col min="5" max="5" width="9" customWidth="1"/>
    <col min="6" max="6" width="10" customWidth="1"/>
    <col min="7" max="7" width="10.85546875" customWidth="1"/>
    <col min="8" max="8" width="10" customWidth="1"/>
    <col min="9" max="9" width="16.5703125" customWidth="1"/>
    <col min="10" max="10" width="16.7109375" customWidth="1"/>
  </cols>
  <sheetData>
    <row r="1" spans="1:10" ht="36" customHeight="1" x14ac:dyDescent="0.25">
      <c r="A1" s="91" t="s">
        <v>142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30" customHeight="1" thickBot="1" x14ac:dyDescent="0.3">
      <c r="A2" s="66" t="s">
        <v>2</v>
      </c>
      <c r="B2" s="66" t="s">
        <v>3</v>
      </c>
      <c r="C2" s="66" t="s">
        <v>4</v>
      </c>
      <c r="D2" s="66" t="s">
        <v>140</v>
      </c>
      <c r="E2" s="66" t="s">
        <v>7</v>
      </c>
      <c r="F2" s="66" t="s">
        <v>139</v>
      </c>
      <c r="G2" s="66" t="s">
        <v>8</v>
      </c>
      <c r="H2" s="66" t="s">
        <v>141</v>
      </c>
      <c r="I2" s="66" t="s">
        <v>46</v>
      </c>
      <c r="J2" s="66" t="s">
        <v>10</v>
      </c>
    </row>
    <row r="3" spans="1:10" ht="18" customHeight="1" x14ac:dyDescent="0.25">
      <c r="A3" s="5">
        <v>46137</v>
      </c>
      <c r="B3" s="6" t="s">
        <v>12</v>
      </c>
      <c r="C3" s="7">
        <v>18.8</v>
      </c>
      <c r="D3" s="8" t="s">
        <v>136</v>
      </c>
      <c r="E3" s="8">
        <v>0.93700000000000006</v>
      </c>
      <c r="F3" s="8" t="s">
        <v>136</v>
      </c>
      <c r="G3" s="15">
        <v>64</v>
      </c>
      <c r="H3" s="8" t="s">
        <v>136</v>
      </c>
      <c r="I3" s="30">
        <v>0.5</v>
      </c>
      <c r="J3" s="15">
        <v>475</v>
      </c>
    </row>
    <row r="4" spans="1:10" ht="18" customHeight="1" x14ac:dyDescent="0.25">
      <c r="A4" s="1">
        <v>46138</v>
      </c>
      <c r="B4" s="2" t="s">
        <v>13</v>
      </c>
      <c r="C4" s="3">
        <v>43.1</v>
      </c>
      <c r="D4" s="4">
        <v>1.2926</v>
      </c>
      <c r="E4" s="4">
        <v>0.94299999999999995</v>
      </c>
      <c r="F4" s="46">
        <v>0</v>
      </c>
      <c r="G4" s="17">
        <v>133</v>
      </c>
      <c r="H4" s="47">
        <v>1.0781000000000001</v>
      </c>
      <c r="I4" s="29">
        <v>0.55600000000000005</v>
      </c>
      <c r="J4" s="17">
        <v>208</v>
      </c>
    </row>
    <row r="5" spans="1:10" ht="18" customHeight="1" x14ac:dyDescent="0.25">
      <c r="A5" s="5">
        <v>46143</v>
      </c>
      <c r="B5" s="6" t="s">
        <v>14</v>
      </c>
      <c r="C5" s="7">
        <v>56.8</v>
      </c>
      <c r="D5" s="8">
        <v>0.31790000000000002</v>
      </c>
      <c r="E5" s="8">
        <v>0.94199999999999995</v>
      </c>
      <c r="F5" s="47">
        <v>-1E-3</v>
      </c>
      <c r="G5" s="15">
        <v>127</v>
      </c>
      <c r="H5" s="46">
        <v>-4.5100000000000001E-2</v>
      </c>
      <c r="I5" s="30">
        <v>0.77800000000000002</v>
      </c>
      <c r="J5" s="15">
        <v>459</v>
      </c>
    </row>
    <row r="6" spans="1:10" ht="18" customHeight="1" x14ac:dyDescent="0.25">
      <c r="A6" s="1">
        <v>46144</v>
      </c>
      <c r="B6" s="2" t="s">
        <v>15</v>
      </c>
      <c r="C6" s="3">
        <v>246.6</v>
      </c>
      <c r="D6" s="4">
        <v>3.3414999999999999</v>
      </c>
      <c r="E6" s="4">
        <v>0.94299999999999995</v>
      </c>
      <c r="F6" s="46">
        <v>1E-3</v>
      </c>
      <c r="G6" s="17">
        <v>264</v>
      </c>
      <c r="H6" s="47">
        <v>1.0787</v>
      </c>
      <c r="I6" s="29">
        <v>0.85699999999999998</v>
      </c>
      <c r="J6" s="17">
        <v>986</v>
      </c>
    </row>
    <row r="7" spans="1:10" ht="18" customHeight="1" x14ac:dyDescent="0.25">
      <c r="A7" s="5">
        <v>46144</v>
      </c>
      <c r="B7" s="6" t="s">
        <v>16</v>
      </c>
      <c r="C7" s="7">
        <v>312.39999999999998</v>
      </c>
      <c r="D7" s="8">
        <v>0.26679999999999998</v>
      </c>
      <c r="E7" s="8">
        <v>0.94299999999999995</v>
      </c>
      <c r="F7" s="46">
        <v>0</v>
      </c>
      <c r="G7" s="15">
        <v>406</v>
      </c>
      <c r="H7" s="47">
        <v>0.53790000000000004</v>
      </c>
      <c r="I7" s="30">
        <v>1</v>
      </c>
      <c r="J7" s="15">
        <v>85</v>
      </c>
    </row>
    <row r="8" spans="1:10" ht="18" customHeight="1" x14ac:dyDescent="0.25">
      <c r="A8" s="1">
        <v>46144</v>
      </c>
      <c r="B8" s="2" t="s">
        <v>17</v>
      </c>
      <c r="C8" s="3">
        <v>381.9</v>
      </c>
      <c r="D8" s="4">
        <v>0.2225</v>
      </c>
      <c r="E8" s="4">
        <v>0.94299999999999995</v>
      </c>
      <c r="F8" s="46">
        <v>0</v>
      </c>
      <c r="G8" s="17">
        <v>461</v>
      </c>
      <c r="H8" s="47">
        <v>0.13550000000000001</v>
      </c>
      <c r="I8" s="29">
        <v>1</v>
      </c>
      <c r="J8" s="17">
        <v>0</v>
      </c>
    </row>
    <row r="9" spans="1:10" ht="18" customHeight="1" x14ac:dyDescent="0.25">
      <c r="A9" s="5">
        <v>46145</v>
      </c>
      <c r="B9" s="6" t="s">
        <v>18</v>
      </c>
      <c r="C9" s="7">
        <v>216.8</v>
      </c>
      <c r="D9" s="8">
        <v>-0.43230000000000002</v>
      </c>
      <c r="E9" s="8">
        <v>0.94699999999999995</v>
      </c>
      <c r="F9" s="46">
        <v>4.1999999999999997E-3</v>
      </c>
      <c r="G9" s="15">
        <v>350</v>
      </c>
      <c r="H9" s="46">
        <v>-0.24079999999999999</v>
      </c>
      <c r="I9" s="30">
        <v>0.71399999999999997</v>
      </c>
      <c r="J9" s="15">
        <v>49</v>
      </c>
    </row>
    <row r="10" spans="1:10" ht="18" customHeight="1" x14ac:dyDescent="0.25">
      <c r="A10" s="1">
        <v>46152</v>
      </c>
      <c r="B10" s="2" t="s">
        <v>14</v>
      </c>
      <c r="C10" s="3">
        <v>79.099999999999994</v>
      </c>
      <c r="D10" s="4">
        <v>-0.6351</v>
      </c>
      <c r="E10" s="4">
        <v>0.93500000000000005</v>
      </c>
      <c r="F10" s="47">
        <v>-1.2699999999999999E-2</v>
      </c>
      <c r="G10" s="17">
        <v>116</v>
      </c>
      <c r="H10" s="46">
        <v>-0.66859999999999997</v>
      </c>
      <c r="I10" s="29">
        <v>0.625</v>
      </c>
      <c r="J10" s="17">
        <v>339</v>
      </c>
    </row>
    <row r="11" spans="1:10" ht="18" customHeight="1" x14ac:dyDescent="0.25">
      <c r="A11" s="5">
        <v>46158</v>
      </c>
      <c r="B11" s="6" t="s">
        <v>19</v>
      </c>
      <c r="C11" s="7">
        <v>265.89999999999998</v>
      </c>
      <c r="D11" s="8">
        <v>2.3616000000000001</v>
      </c>
      <c r="E11" s="8">
        <v>0.94199999999999995</v>
      </c>
      <c r="F11" s="46">
        <v>7.4999999999999997E-3</v>
      </c>
      <c r="G11" s="15">
        <v>345</v>
      </c>
      <c r="H11" s="47">
        <v>1.9741</v>
      </c>
      <c r="I11" s="30">
        <v>0.85699999999999998</v>
      </c>
      <c r="J11" s="15">
        <v>40</v>
      </c>
    </row>
    <row r="12" spans="1:10" ht="18" customHeight="1" x14ac:dyDescent="0.25">
      <c r="A12" s="1">
        <v>46159</v>
      </c>
      <c r="B12" s="2" t="s">
        <v>20</v>
      </c>
      <c r="C12" s="3">
        <v>97.6</v>
      </c>
      <c r="D12" s="4">
        <v>-0.63290000000000002</v>
      </c>
      <c r="E12" s="4">
        <v>0.94599999999999995</v>
      </c>
      <c r="F12" s="46">
        <v>3.0999999999999999E-3</v>
      </c>
      <c r="G12" s="17">
        <v>159</v>
      </c>
      <c r="H12" s="46">
        <v>-0.53910000000000002</v>
      </c>
      <c r="I12" s="29">
        <v>0.625</v>
      </c>
      <c r="J12" s="17">
        <v>591</v>
      </c>
    </row>
    <row r="13" spans="1:10" ht="18" customHeight="1" x14ac:dyDescent="0.25">
      <c r="A13" s="5">
        <v>46159</v>
      </c>
      <c r="B13" s="6" t="s">
        <v>21</v>
      </c>
      <c r="C13" s="7">
        <v>125.3</v>
      </c>
      <c r="D13" s="8">
        <v>0.2838</v>
      </c>
      <c r="E13" s="8">
        <v>0.94599999999999995</v>
      </c>
      <c r="F13" s="46">
        <v>0</v>
      </c>
      <c r="G13" s="15">
        <v>219</v>
      </c>
      <c r="H13" s="47">
        <v>0.37740000000000001</v>
      </c>
      <c r="I13" s="30">
        <v>0.71399999999999997</v>
      </c>
      <c r="J13" s="15">
        <v>591</v>
      </c>
    </row>
    <row r="14" spans="1:10" ht="18" customHeight="1" x14ac:dyDescent="0.25">
      <c r="A14" s="1">
        <v>46159</v>
      </c>
      <c r="B14" s="2" t="s">
        <v>22</v>
      </c>
      <c r="C14" s="3">
        <v>294.39999999999998</v>
      </c>
      <c r="D14" s="4">
        <v>1.3495999999999999</v>
      </c>
      <c r="E14" s="4">
        <v>0.94599999999999995</v>
      </c>
      <c r="F14" s="46">
        <v>0</v>
      </c>
      <c r="G14" s="17">
        <v>440</v>
      </c>
      <c r="H14" s="47">
        <v>1.0091000000000001</v>
      </c>
      <c r="I14" s="29">
        <v>0.83299999999999996</v>
      </c>
      <c r="J14" s="17">
        <v>0</v>
      </c>
    </row>
    <row r="15" spans="1:10" ht="18" customHeight="1" x14ac:dyDescent="0.25">
      <c r="A15" s="5">
        <v>46164</v>
      </c>
      <c r="B15" s="6" t="s">
        <v>23</v>
      </c>
      <c r="C15" s="7">
        <v>107.2</v>
      </c>
      <c r="D15" s="8">
        <v>2.3395999999999999</v>
      </c>
      <c r="E15" s="8">
        <v>0.93899999999999995</v>
      </c>
      <c r="F15" s="47">
        <v>-2.0999999999999999E-3</v>
      </c>
      <c r="G15" s="15">
        <v>134</v>
      </c>
      <c r="H15" s="46">
        <v>-0.69550000000000001</v>
      </c>
      <c r="I15" s="30">
        <v>0.90900000000000003</v>
      </c>
      <c r="J15" s="15">
        <v>1061</v>
      </c>
    </row>
    <row r="16" spans="1:10" ht="18" customHeight="1" x14ac:dyDescent="0.25">
      <c r="A16" s="83">
        <v>46171</v>
      </c>
      <c r="B16" s="86" t="s">
        <v>24</v>
      </c>
      <c r="C16" s="87">
        <v>70.7</v>
      </c>
      <c r="D16" s="82">
        <v>-0.34050000000000002</v>
      </c>
      <c r="E16" s="82">
        <v>0.93100000000000005</v>
      </c>
      <c r="F16" s="88">
        <v>-8.5000000000000006E-3</v>
      </c>
      <c r="G16" s="81">
        <v>226</v>
      </c>
      <c r="H16" s="88">
        <v>0.68659999999999999</v>
      </c>
      <c r="I16" s="89">
        <v>0.72699999999999998</v>
      </c>
      <c r="J16" s="81">
        <v>740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5100"/>
  </sheetPr>
  <dimension ref="A1:N15"/>
  <sheetViews>
    <sheetView topLeftCell="A23" zoomScaleNormal="100" workbookViewId="0">
      <selection activeCell="A14" sqref="A14"/>
    </sheetView>
  </sheetViews>
  <sheetFormatPr defaultColWidth="8.7109375" defaultRowHeight="15" x14ac:dyDescent="0.25"/>
  <cols>
    <col min="1" max="1" width="28.28515625" bestFit="1" customWidth="1"/>
    <col min="2" max="2" width="15.85546875" customWidth="1"/>
    <col min="3" max="3" width="15.42578125" customWidth="1"/>
    <col min="4" max="4" width="10" customWidth="1"/>
    <col min="5" max="5" width="12.28515625" customWidth="1"/>
    <col min="7" max="7" width="22" customWidth="1"/>
    <col min="8" max="9" width="13" customWidth="1"/>
    <col min="11" max="11" width="15" customWidth="1"/>
    <col min="12" max="12" width="12" customWidth="1"/>
    <col min="13" max="13" width="11" customWidth="1"/>
  </cols>
  <sheetData>
    <row r="1" spans="1:14" ht="36" customHeight="1" x14ac:dyDescent="0.25">
      <c r="A1" s="91" t="s">
        <v>138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3" spans="1:14" x14ac:dyDescent="0.25">
      <c r="A3" s="18" t="s">
        <v>124</v>
      </c>
      <c r="G3" s="18" t="s">
        <v>125</v>
      </c>
      <c r="K3" s="18" t="s">
        <v>126</v>
      </c>
    </row>
    <row r="4" spans="1:14" ht="27.75" customHeight="1" x14ac:dyDescent="0.25">
      <c r="A4" s="90" t="s">
        <v>2</v>
      </c>
      <c r="B4" s="90" t="s">
        <v>127</v>
      </c>
      <c r="C4" s="90" t="s">
        <v>128</v>
      </c>
      <c r="D4" s="90" t="s">
        <v>7</v>
      </c>
      <c r="E4" s="90" t="s">
        <v>9</v>
      </c>
      <c r="G4" s="34" t="s">
        <v>25</v>
      </c>
      <c r="H4" s="34" t="s">
        <v>115</v>
      </c>
      <c r="I4" s="34" t="s">
        <v>116</v>
      </c>
      <c r="K4" s="19" t="s">
        <v>42</v>
      </c>
      <c r="L4" s="19" t="s">
        <v>129</v>
      </c>
      <c r="M4" s="19" t="s">
        <v>130</v>
      </c>
    </row>
    <row r="5" spans="1:14" ht="18" customHeight="1" x14ac:dyDescent="0.25">
      <c r="A5" s="1">
        <v>46137</v>
      </c>
      <c r="B5" s="3">
        <v>18.8</v>
      </c>
      <c r="C5" s="17">
        <v>64</v>
      </c>
      <c r="D5" s="4">
        <v>0.93700000000000006</v>
      </c>
      <c r="E5" s="17">
        <v>1308</v>
      </c>
      <c r="G5" s="16" t="s">
        <v>47</v>
      </c>
      <c r="H5" s="17">
        <v>39919</v>
      </c>
      <c r="I5" s="17">
        <v>130</v>
      </c>
      <c r="K5" s="27" t="s">
        <v>60</v>
      </c>
      <c r="L5" s="28">
        <v>41</v>
      </c>
      <c r="M5" s="33">
        <v>0.48199999999999998</v>
      </c>
    </row>
    <row r="6" spans="1:14" ht="18" customHeight="1" x14ac:dyDescent="0.25">
      <c r="A6" s="5">
        <v>46138</v>
      </c>
      <c r="B6" s="7">
        <v>43.1</v>
      </c>
      <c r="C6" s="15">
        <v>133</v>
      </c>
      <c r="D6" s="8">
        <v>0.94299999999999995</v>
      </c>
      <c r="E6" s="15">
        <v>1136</v>
      </c>
      <c r="G6" s="14" t="s">
        <v>50</v>
      </c>
      <c r="H6" s="15">
        <v>28737</v>
      </c>
      <c r="I6" s="15">
        <v>394</v>
      </c>
      <c r="K6" s="21" t="s">
        <v>48</v>
      </c>
      <c r="L6" s="21">
        <v>20</v>
      </c>
      <c r="M6" s="21">
        <v>0.23499999999999999</v>
      </c>
    </row>
    <row r="7" spans="1:14" ht="18" customHeight="1" x14ac:dyDescent="0.25">
      <c r="A7" s="1">
        <v>46143</v>
      </c>
      <c r="B7" s="3">
        <v>56.8</v>
      </c>
      <c r="C7" s="17">
        <v>127</v>
      </c>
      <c r="D7" s="4">
        <v>0.94199999999999995</v>
      </c>
      <c r="E7" s="17">
        <v>900</v>
      </c>
      <c r="G7" s="16" t="s">
        <v>57</v>
      </c>
      <c r="H7" s="17">
        <v>22280</v>
      </c>
      <c r="I7" s="17">
        <v>218</v>
      </c>
      <c r="K7" s="25" t="s">
        <v>52</v>
      </c>
      <c r="L7" s="26">
        <v>14</v>
      </c>
      <c r="M7" s="35">
        <v>0.16500000000000001</v>
      </c>
    </row>
    <row r="8" spans="1:14" ht="18" customHeight="1" x14ac:dyDescent="0.25">
      <c r="A8" s="5">
        <v>46144</v>
      </c>
      <c r="B8" s="7">
        <v>313.60000000000002</v>
      </c>
      <c r="C8" s="15">
        <v>377</v>
      </c>
      <c r="D8" s="8">
        <v>0.94299999999999995</v>
      </c>
      <c r="E8" s="15">
        <v>993</v>
      </c>
      <c r="G8" s="14" t="s">
        <v>59</v>
      </c>
      <c r="H8" s="15">
        <v>6539</v>
      </c>
      <c r="I8" s="15">
        <v>162</v>
      </c>
      <c r="K8" s="62" t="s">
        <v>54</v>
      </c>
      <c r="L8" s="62">
        <v>10</v>
      </c>
      <c r="M8" s="64">
        <v>0.11799999999999999</v>
      </c>
    </row>
    <row r="9" spans="1:14" ht="18" customHeight="1" x14ac:dyDescent="0.25">
      <c r="A9" s="1">
        <v>46145</v>
      </c>
      <c r="B9" s="3">
        <v>216.8</v>
      </c>
      <c r="C9" s="17">
        <v>350</v>
      </c>
      <c r="D9" s="4">
        <v>0.94699999999999995</v>
      </c>
      <c r="E9" s="17">
        <v>910</v>
      </c>
      <c r="G9" s="16" t="s">
        <v>78</v>
      </c>
      <c r="H9" s="17">
        <v>2464</v>
      </c>
      <c r="I9" s="17">
        <v>22</v>
      </c>
    </row>
    <row r="10" spans="1:14" ht="18" customHeight="1" x14ac:dyDescent="0.25">
      <c r="A10" s="5">
        <v>46152</v>
      </c>
      <c r="B10" s="7">
        <v>79.099999999999994</v>
      </c>
      <c r="C10" s="15">
        <v>116</v>
      </c>
      <c r="D10" s="8">
        <v>0.93500000000000005</v>
      </c>
      <c r="E10" s="15">
        <v>945</v>
      </c>
      <c r="G10" s="14" t="s">
        <v>64</v>
      </c>
      <c r="H10" s="15">
        <v>1816</v>
      </c>
      <c r="I10" s="15">
        <v>20</v>
      </c>
    </row>
    <row r="11" spans="1:14" ht="18" customHeight="1" x14ac:dyDescent="0.25">
      <c r="A11" s="1">
        <v>46158</v>
      </c>
      <c r="B11" s="3">
        <v>265.89999999999998</v>
      </c>
      <c r="C11" s="17">
        <v>345</v>
      </c>
      <c r="D11" s="4">
        <v>0.94199999999999995</v>
      </c>
      <c r="E11" s="17">
        <v>994</v>
      </c>
      <c r="G11" s="16" t="s">
        <v>70</v>
      </c>
      <c r="H11" s="17">
        <v>0</v>
      </c>
      <c r="I11" s="17">
        <v>11</v>
      </c>
    </row>
    <row r="12" spans="1:14" ht="18" customHeight="1" x14ac:dyDescent="0.25">
      <c r="A12" s="5">
        <v>46159</v>
      </c>
      <c r="B12" s="7">
        <v>172.4</v>
      </c>
      <c r="C12" s="15">
        <v>273</v>
      </c>
      <c r="D12" s="8">
        <v>0.94599999999999995</v>
      </c>
      <c r="E12" s="15">
        <v>818</v>
      </c>
    </row>
    <row r="13" spans="1:14" ht="18" customHeight="1" x14ac:dyDescent="0.25">
      <c r="A13" s="1">
        <v>46164</v>
      </c>
      <c r="B13" s="3">
        <v>107.2</v>
      </c>
      <c r="C13" s="17">
        <v>134</v>
      </c>
      <c r="D13" s="4">
        <v>0.93899999999999995</v>
      </c>
      <c r="E13" s="17">
        <v>773</v>
      </c>
    </row>
    <row r="14" spans="1:14" ht="18" customHeight="1" x14ac:dyDescent="0.25">
      <c r="A14" s="5">
        <v>46171</v>
      </c>
      <c r="B14" s="7">
        <v>70.7</v>
      </c>
      <c r="C14" s="15">
        <v>226</v>
      </c>
      <c r="D14" s="8">
        <v>0.93100000000000005</v>
      </c>
      <c r="E14" s="15">
        <v>753</v>
      </c>
    </row>
    <row r="15" spans="1:14" x14ac:dyDescent="0.25">
      <c r="A15" s="9" t="s">
        <v>137</v>
      </c>
      <c r="B15" s="10">
        <f>AVERAGE(B5:B14)</f>
        <v>134.44</v>
      </c>
      <c r="C15" s="12">
        <f>SUM(C5:C14)</f>
        <v>2145</v>
      </c>
      <c r="D15" s="11">
        <f>AVERAGE(D5:D14)</f>
        <v>0.94050000000000011</v>
      </c>
      <c r="E15" s="12">
        <f>SUM(E5:E14)</f>
        <v>9530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Data</vt:lpstr>
      <vt:lpstr>NIL Picks &amp; Out Scans</vt:lpstr>
      <vt:lpstr>Receiving Operations</vt:lpstr>
      <vt:lpstr>Inventory &amp; Store Metrics</vt:lpstr>
      <vt:lpstr>KPI Trends &amp; Analysis</vt:lpstr>
      <vt:lpstr>Pivot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Angel Molina</cp:lastModifiedBy>
  <cp:revision>1</cp:revision>
  <dcterms:created xsi:type="dcterms:W3CDTF">2026-06-04T22:54:51Z</dcterms:created>
  <dcterms:modified xsi:type="dcterms:W3CDTF">2026-06-08T23:59:55Z</dcterms:modified>
  <dc:language>en-US</dc:language>
</cp:coreProperties>
</file>